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f92947136a4f923/Desktop/"/>
    </mc:Choice>
  </mc:AlternateContent>
  <xr:revisionPtr revIDLastSave="1" documentId="8_{F3EC8A5D-E975-4C1A-95FA-873D1FFA83AD}" xr6:coauthVersionLast="47" xr6:coauthVersionMax="47" xr10:uidLastSave="{E62459AB-ADFA-4604-8B68-C78D39591F94}"/>
  <bookViews>
    <workbookView xWindow="-108" yWindow="-108" windowWidth="23256" windowHeight="12456" activeTab="4" xr2:uid="{91ABE7D3-80D9-42F6-B142-8A09D0E09C81}"/>
  </bookViews>
  <sheets>
    <sheet name="Sheet1" sheetId="4" r:id="rId1"/>
    <sheet name="Sheet2" sheetId="5" r:id="rId2"/>
    <sheet name="Pivot" sheetId="2" r:id="rId3"/>
    <sheet name="data" sheetId="1" r:id="rId4"/>
    <sheet name="dashboard" sheetId="3" r:id="rId5"/>
  </sheets>
  <definedNames>
    <definedName name="_xlnm.Print_Area" localSheetId="4">dashboard!$A$1:$AQ$54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C2" i="1"/>
  <c r="B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<sst xmlns="http://schemas.openxmlformats.org/spreadsheetml/2006/main" count="3384" uniqueCount="196">
  <si>
    <t>match_id</t>
  </si>
  <si>
    <t>date</t>
  </si>
  <si>
    <t>venue</t>
  </si>
  <si>
    <t>team1</t>
  </si>
  <si>
    <t>team2</t>
  </si>
  <si>
    <t>stage</t>
  </si>
  <si>
    <t>toss_winner</t>
  </si>
  <si>
    <t>toss_decision</t>
  </si>
  <si>
    <t>first_ings_score</t>
  </si>
  <si>
    <t>first_ings_wkts</t>
  </si>
  <si>
    <t>second_ings_score</t>
  </si>
  <si>
    <t>second_ings_wkts</t>
  </si>
  <si>
    <t>match_result</t>
  </si>
  <si>
    <t>match_winner</t>
  </si>
  <si>
    <t>wb_runs</t>
  </si>
  <si>
    <t>wb_wickets</t>
  </si>
  <si>
    <t>balls_left</t>
  </si>
  <si>
    <t>player_of_the_match</t>
  </si>
  <si>
    <t>top_scorer</t>
  </si>
  <si>
    <t>highscore</t>
  </si>
  <si>
    <t>March 22,2025</t>
  </si>
  <si>
    <t>Eden Gardens, Kolkata</t>
  </si>
  <si>
    <t>KKR</t>
  </si>
  <si>
    <t>RCB</t>
  </si>
  <si>
    <t>League</t>
  </si>
  <si>
    <t>Bowl</t>
  </si>
  <si>
    <t>completed</t>
  </si>
  <si>
    <t>Krunal Pandya</t>
  </si>
  <si>
    <t>Virat Kohli</t>
  </si>
  <si>
    <t>March 23,2025</t>
  </si>
  <si>
    <t>Rajiv Gandhi International Stadium, Hyderabad</t>
  </si>
  <si>
    <t>SRH</t>
  </si>
  <si>
    <t>RR</t>
  </si>
  <si>
    <t>Ishan Kishan</t>
  </si>
  <si>
    <t>MA Chidambaram Stadium, Chennai</t>
  </si>
  <si>
    <t>CSK</t>
  </si>
  <si>
    <t>MI</t>
  </si>
  <si>
    <t>Noor Ahmad</t>
  </si>
  <si>
    <t>Rachin Ravindra</t>
  </si>
  <si>
    <t>March 24,2025</t>
  </si>
  <si>
    <t>ACA-VDCA Cricket Stadium, Vishakhapatnam</t>
  </si>
  <si>
    <t>DC</t>
  </si>
  <si>
    <t>LSG</t>
  </si>
  <si>
    <t>Ashutosh Sharma</t>
  </si>
  <si>
    <t>Nicholas Pooran</t>
  </si>
  <si>
    <t>Mitchell Starc</t>
  </si>
  <si>
    <t>March 25,2025</t>
  </si>
  <si>
    <t>Narendra Modi Stadium, Ahmedabad</t>
  </si>
  <si>
    <t>GT</t>
  </si>
  <si>
    <t>PBKS</t>
  </si>
  <si>
    <t>Shreyas Iyer</t>
  </si>
  <si>
    <t>March 26,2025</t>
  </si>
  <si>
    <t>Barsapara Stadium, Guwahati</t>
  </si>
  <si>
    <t>Quinton de Kock</t>
  </si>
  <si>
    <t>March 27,2025</t>
  </si>
  <si>
    <t>Shardul Thakur</t>
  </si>
  <si>
    <t>March 28,2025</t>
  </si>
  <si>
    <t>Rajat Patidar</t>
  </si>
  <si>
    <t>Josh Hazlewood</t>
  </si>
  <si>
    <t>March 29,2025</t>
  </si>
  <si>
    <t>Prasidh Krishna</t>
  </si>
  <si>
    <t>Sai Sudarshan</t>
  </si>
  <si>
    <t>March 30,2025</t>
  </si>
  <si>
    <t>Bat</t>
  </si>
  <si>
    <t>Aniket Verma</t>
  </si>
  <si>
    <t>Nitish Rana</t>
  </si>
  <si>
    <t>March 31,2025</t>
  </si>
  <si>
    <t>Wankhede Stadium, Mumbai</t>
  </si>
  <si>
    <t>Ashwani Kumar</t>
  </si>
  <si>
    <t>Ryan Rickelton</t>
  </si>
  <si>
    <t>April 01,2025</t>
  </si>
  <si>
    <t>Ekana Cricket Stadium, Lucknow</t>
  </si>
  <si>
    <t>Prabhsimran Singh</t>
  </si>
  <si>
    <t>April 02,2025</t>
  </si>
  <si>
    <t>M. Chinnaswamy Stadium, Bangalore</t>
  </si>
  <si>
    <t>Mohammed Siraj</t>
  </si>
  <si>
    <t>Jos Buttler</t>
  </si>
  <si>
    <t>April 03,2025</t>
  </si>
  <si>
    <t>Vaibhav Arora</t>
  </si>
  <si>
    <t>Venkatesh Iyer</t>
  </si>
  <si>
    <t>April 04,2025</t>
  </si>
  <si>
    <t>Digvesh Singh</t>
  </si>
  <si>
    <t>Suryakumar Yadav</t>
  </si>
  <si>
    <t>April 05,2025</t>
  </si>
  <si>
    <t>KL Rahul</t>
  </si>
  <si>
    <t>New PCA Cricket Stadium, Mullanpur</t>
  </si>
  <si>
    <t>Jofra Archer</t>
  </si>
  <si>
    <t>Yashasvi Jaiswal</t>
  </si>
  <si>
    <t>April 06,2025</t>
  </si>
  <si>
    <t>Shubman Gill</t>
  </si>
  <si>
    <t>April 07,2025</t>
  </si>
  <si>
    <t>April 08,2025</t>
  </si>
  <si>
    <t>Priyansh Arya</t>
  </si>
  <si>
    <t>April 09,2025</t>
  </si>
  <si>
    <t>April 10,2025</t>
  </si>
  <si>
    <t>April 11,2025</t>
  </si>
  <si>
    <t>Sunil Narine</t>
  </si>
  <si>
    <t>April 12,2025</t>
  </si>
  <si>
    <t>Aiden Markram</t>
  </si>
  <si>
    <t>Abhishek Sharma</t>
  </si>
  <si>
    <t>Harshal Patel</t>
  </si>
  <si>
    <t>April 13,2025</t>
  </si>
  <si>
    <t>Sawai Mansingh Stadium, Jaipur</t>
  </si>
  <si>
    <t>Phil Salt</t>
  </si>
  <si>
    <t>Arun Jaitley Stadium, Delhi</t>
  </si>
  <si>
    <t>Karn Sharma</t>
  </si>
  <si>
    <t>Karun Nair</t>
  </si>
  <si>
    <t>April 14,2025</t>
  </si>
  <si>
    <t>MS Dhoni</t>
  </si>
  <si>
    <t>Rishabh Pant</t>
  </si>
  <si>
    <t>April 15,2025</t>
  </si>
  <si>
    <t>Yuzvendra Chahal</t>
  </si>
  <si>
    <t>Angkrish Raghuvanshi</t>
  </si>
  <si>
    <t>April 16,2025</t>
  </si>
  <si>
    <t>super over</t>
  </si>
  <si>
    <t>April 17,2025</t>
  </si>
  <si>
    <t>Will Jacks</t>
  </si>
  <si>
    <t>April 18,2025</t>
  </si>
  <si>
    <t>Tim David</t>
  </si>
  <si>
    <t>April 19,2025</t>
  </si>
  <si>
    <t>Avesh Khan</t>
  </si>
  <si>
    <t>April 20,2025</t>
  </si>
  <si>
    <t>Rohit Sharma</t>
  </si>
  <si>
    <t>April 21,2025</t>
  </si>
  <si>
    <t>April 22,2025</t>
  </si>
  <si>
    <t>Mukesh Kumar</t>
  </si>
  <si>
    <t>April 23,2025</t>
  </si>
  <si>
    <t>Trent Boult</t>
  </si>
  <si>
    <t>Heinrich Klassen</t>
  </si>
  <si>
    <t>April 24,2025</t>
  </si>
  <si>
    <t>April 25,2025</t>
  </si>
  <si>
    <t>April 26,2025</t>
  </si>
  <si>
    <t>tied</t>
  </si>
  <si>
    <t>April 27,2025</t>
  </si>
  <si>
    <t>April 28,2025</t>
  </si>
  <si>
    <t>Vaibhav Suryavanshi</t>
  </si>
  <si>
    <t>April 29,2025</t>
  </si>
  <si>
    <t>Faf du Plessis</t>
  </si>
  <si>
    <t>April 30,2025</t>
  </si>
  <si>
    <t>Sam Curran</t>
  </si>
  <si>
    <t>May 1,2025</t>
  </si>
  <si>
    <t>May 2,2025</t>
  </si>
  <si>
    <t>May 3,2025</t>
  </si>
  <si>
    <t>Romario Shepherd</t>
  </si>
  <si>
    <t>Ayush Mhatre</t>
  </si>
  <si>
    <t>May 4,2025</t>
  </si>
  <si>
    <t>Andre Russell</t>
  </si>
  <si>
    <t>Riyan Parag</t>
  </si>
  <si>
    <t>HPCA Stadium, Dharamshala</t>
  </si>
  <si>
    <t>May 5,2025</t>
  </si>
  <si>
    <t>May 6,2025</t>
  </si>
  <si>
    <t>May 7,2025</t>
  </si>
  <si>
    <t>Dewald Brevis</t>
  </si>
  <si>
    <t>May 17,2025</t>
  </si>
  <si>
    <t>May 18,2025</t>
  </si>
  <si>
    <t>Harpreet Brar</t>
  </si>
  <si>
    <t>Nehal Wadhera</t>
  </si>
  <si>
    <t>May 19,2025</t>
  </si>
  <si>
    <t>Mitchell Marsh</t>
  </si>
  <si>
    <t>May 20,2025</t>
  </si>
  <si>
    <t>Akash Madhwal</t>
  </si>
  <si>
    <t>May 21,2025</t>
  </si>
  <si>
    <t>May 22,2025</t>
  </si>
  <si>
    <t>May 23,2025</t>
  </si>
  <si>
    <t>May 24,2025</t>
  </si>
  <si>
    <t>Sameer Rizvi</t>
  </si>
  <si>
    <t>May 25,2025</t>
  </si>
  <si>
    <t>May 26,2025</t>
  </si>
  <si>
    <t>Josh Inglis</t>
  </si>
  <si>
    <t>May 27,2025</t>
  </si>
  <si>
    <t>Jitesh Sharma</t>
  </si>
  <si>
    <t>May 29,2025</t>
  </si>
  <si>
    <t>Playoffs</t>
  </si>
  <si>
    <t>Suyash Sharma</t>
  </si>
  <si>
    <t>May 30,2025</t>
  </si>
  <si>
    <t>June 1,2025</t>
  </si>
  <si>
    <t>June 3,2025</t>
  </si>
  <si>
    <t>Final</t>
  </si>
  <si>
    <t>Shashank Singh</t>
  </si>
  <si>
    <t>MacthMonth</t>
  </si>
  <si>
    <t>MatchYear</t>
  </si>
  <si>
    <t>Sum of First Innings Runs</t>
  </si>
  <si>
    <t>Sum of Win By Runs</t>
  </si>
  <si>
    <t>Row Labels</t>
  </si>
  <si>
    <t>Grand Total</t>
  </si>
  <si>
    <t>Count of Wins</t>
  </si>
  <si>
    <t>Column Labels</t>
  </si>
  <si>
    <t>(blank)</t>
  </si>
  <si>
    <t>Count of Awards</t>
  </si>
  <si>
    <t>MatchYear2</t>
  </si>
  <si>
    <t>MatchMonth</t>
  </si>
  <si>
    <t>December</t>
  </si>
  <si>
    <t>January</t>
  </si>
  <si>
    <t>February</t>
  </si>
  <si>
    <t>March</t>
  </si>
  <si>
    <t>IPL2025 MATCHDATA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</si>
</sst>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6"/>
      <color rgb="FF002060"/>
      <name val="Bauhaus 93"/>
      <family val="5"/>
    </font>
    <font>
      <sz val="11"/>
      <color rgb="FF000000"/>
      <name val="Aptos Narrow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33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34" borderId="0" xfId="0" applyFill="1"/>
    <xf numFmtId="0" fontId="18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[ipl match data dashboard.xlsm]Pivot!FirstInningsRunsTrend</c:name>
    <c:fmtId val="1"/>
  </c:pivotSource>
  <c:chart>
    <c:title>
      <c:layout>
        <c:manualLayout>
          <c:xMode val="edge"/>
          <c:yMode val="edge"/>
          <c:x val="0.49556252502335513"/>
          <c:y val="0.10507995011261891"/>
        </c:manualLayout>
      </c:layout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Pivot!$B$12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Pivot!$A$13:$A$137</c:f>
              <c:multiLvlStrCache>
                <c:ptCount val="62"/>
                <c:lvl>
                  <c:pt idx="0">
                    <c:v>April 01,2025</c:v>
                  </c:pt>
                  <c:pt idx="1">
                    <c:v>April 02,2025</c:v>
                  </c:pt>
                  <c:pt idx="2">
                    <c:v>April 03,2025</c:v>
                  </c:pt>
                  <c:pt idx="3">
                    <c:v>April 04,2025</c:v>
                  </c:pt>
                  <c:pt idx="4">
                    <c:v>April 05,2025</c:v>
                  </c:pt>
                  <c:pt idx="5">
                    <c:v>April 06,2025</c:v>
                  </c:pt>
                  <c:pt idx="6">
                    <c:v>April 07,2025</c:v>
                  </c:pt>
                  <c:pt idx="7">
                    <c:v>April 08,2025</c:v>
                  </c:pt>
                  <c:pt idx="8">
                    <c:v>April 09,2025</c:v>
                  </c:pt>
                  <c:pt idx="9">
                    <c:v>April 10,2025</c:v>
                  </c:pt>
                  <c:pt idx="10">
                    <c:v>April 11,2025</c:v>
                  </c:pt>
                  <c:pt idx="11">
                    <c:v>April 12,2025</c:v>
                  </c:pt>
                  <c:pt idx="12">
                    <c:v>April 13,2025</c:v>
                  </c:pt>
                  <c:pt idx="13">
                    <c:v>April 14,2025</c:v>
                  </c:pt>
                  <c:pt idx="14">
                    <c:v>April 15,2025</c:v>
                  </c:pt>
                  <c:pt idx="15">
                    <c:v>April 16,2025</c:v>
                  </c:pt>
                  <c:pt idx="16">
                    <c:v>April 17,2025</c:v>
                  </c:pt>
                  <c:pt idx="17">
                    <c:v>April 18,2025</c:v>
                  </c:pt>
                  <c:pt idx="18">
                    <c:v>April 19,2025</c:v>
                  </c:pt>
                  <c:pt idx="19">
                    <c:v>April 20,2025</c:v>
                  </c:pt>
                  <c:pt idx="20">
                    <c:v>April 21,2025</c:v>
                  </c:pt>
                  <c:pt idx="21">
                    <c:v>April 22,2025</c:v>
                  </c:pt>
                  <c:pt idx="22">
                    <c:v>April 23,2025</c:v>
                  </c:pt>
                  <c:pt idx="23">
                    <c:v>April 24,2025</c:v>
                  </c:pt>
                  <c:pt idx="24">
                    <c:v>April 25,2025</c:v>
                  </c:pt>
                  <c:pt idx="25">
                    <c:v>April 26,2025</c:v>
                  </c:pt>
                  <c:pt idx="26">
                    <c:v>April 27,2025</c:v>
                  </c:pt>
                  <c:pt idx="27">
                    <c:v>April 28,2025</c:v>
                  </c:pt>
                  <c:pt idx="28">
                    <c:v>April 29,2025</c:v>
                  </c:pt>
                  <c:pt idx="29">
                    <c:v>April 30,2025</c:v>
                  </c:pt>
                  <c:pt idx="30">
                    <c:v>June 1,2025</c:v>
                  </c:pt>
                  <c:pt idx="31">
                    <c:v>June 3,2025</c:v>
                  </c:pt>
                  <c:pt idx="32">
                    <c:v>March 22,2025</c:v>
                  </c:pt>
                  <c:pt idx="33">
                    <c:v>March 23,2025</c:v>
                  </c:pt>
                  <c:pt idx="34">
                    <c:v>March 24,2025</c:v>
                  </c:pt>
                  <c:pt idx="35">
                    <c:v>March 25,2025</c:v>
                  </c:pt>
                  <c:pt idx="36">
                    <c:v>March 26,2025</c:v>
                  </c:pt>
                  <c:pt idx="37">
                    <c:v>March 27,2025</c:v>
                  </c:pt>
                  <c:pt idx="38">
                    <c:v>March 28,2025</c:v>
                  </c:pt>
                  <c:pt idx="39">
                    <c:v>March 29,2025</c:v>
                  </c:pt>
                  <c:pt idx="40">
                    <c:v>March 30,2025</c:v>
                  </c:pt>
                  <c:pt idx="41">
                    <c:v>March 31,2025</c:v>
                  </c:pt>
                  <c:pt idx="42">
                    <c:v>May 1,2025</c:v>
                  </c:pt>
                  <c:pt idx="43">
                    <c:v>May 17,2025</c:v>
                  </c:pt>
                  <c:pt idx="44">
                    <c:v>May 18,2025</c:v>
                  </c:pt>
                  <c:pt idx="45">
                    <c:v>May 19,2025</c:v>
                  </c:pt>
                  <c:pt idx="46">
                    <c:v>May 2,2025</c:v>
                  </c:pt>
                  <c:pt idx="47">
                    <c:v>May 20,2025</c:v>
                  </c:pt>
                  <c:pt idx="48">
                    <c:v>May 21,2025</c:v>
                  </c:pt>
                  <c:pt idx="49">
                    <c:v>May 22,2025</c:v>
                  </c:pt>
                  <c:pt idx="50">
                    <c:v>May 23,2025</c:v>
                  </c:pt>
                  <c:pt idx="51">
                    <c:v>May 24,2025</c:v>
                  </c:pt>
                  <c:pt idx="52">
                    <c:v>May 25,2025</c:v>
                  </c:pt>
                  <c:pt idx="53">
                    <c:v>May 26,2025</c:v>
                  </c:pt>
                  <c:pt idx="54">
                    <c:v>May 27,2025</c:v>
                  </c:pt>
                  <c:pt idx="55">
                    <c:v>May 29,2025</c:v>
                  </c:pt>
                  <c:pt idx="56">
                    <c:v>May 3,2025</c:v>
                  </c:pt>
                  <c:pt idx="57">
                    <c:v>May 30,2025</c:v>
                  </c:pt>
                  <c:pt idx="58">
                    <c:v>May 4,2025</c:v>
                  </c:pt>
                  <c:pt idx="59">
                    <c:v>May 5,2025</c:v>
                  </c:pt>
                  <c:pt idx="60">
                    <c:v>May 6,2025</c:v>
                  </c:pt>
                  <c:pt idx="61">
                    <c:v>May 7,2025</c:v>
                  </c:pt>
                </c:lvl>
                <c:lvl>
                  <c:pt idx="0">
                    <c:v>April 01,2025</c:v>
                  </c:pt>
                  <c:pt idx="1">
                    <c:v>April 02,2025</c:v>
                  </c:pt>
                  <c:pt idx="2">
                    <c:v>April 03,2025</c:v>
                  </c:pt>
                  <c:pt idx="3">
                    <c:v>April 04,2025</c:v>
                  </c:pt>
                  <c:pt idx="4">
                    <c:v>April 05,2025</c:v>
                  </c:pt>
                  <c:pt idx="5">
                    <c:v>April 06,2025</c:v>
                  </c:pt>
                  <c:pt idx="6">
                    <c:v>April 07,2025</c:v>
                  </c:pt>
                  <c:pt idx="7">
                    <c:v>April 08,2025</c:v>
                  </c:pt>
                  <c:pt idx="8">
                    <c:v>April 09,2025</c:v>
                  </c:pt>
                  <c:pt idx="9">
                    <c:v>April 10,2025</c:v>
                  </c:pt>
                  <c:pt idx="10">
                    <c:v>April 11,2025</c:v>
                  </c:pt>
                  <c:pt idx="11">
                    <c:v>April 12,2025</c:v>
                  </c:pt>
                  <c:pt idx="12">
                    <c:v>April 13,2025</c:v>
                  </c:pt>
                  <c:pt idx="13">
                    <c:v>April 14,2025</c:v>
                  </c:pt>
                  <c:pt idx="14">
                    <c:v>April 15,2025</c:v>
                  </c:pt>
                  <c:pt idx="15">
                    <c:v>April 16,2025</c:v>
                  </c:pt>
                  <c:pt idx="16">
                    <c:v>April 17,2025</c:v>
                  </c:pt>
                  <c:pt idx="17">
                    <c:v>April 18,2025</c:v>
                  </c:pt>
                  <c:pt idx="18">
                    <c:v>April 19,2025</c:v>
                  </c:pt>
                  <c:pt idx="19">
                    <c:v>April 20,2025</c:v>
                  </c:pt>
                  <c:pt idx="20">
                    <c:v>April 21,2025</c:v>
                  </c:pt>
                  <c:pt idx="21">
                    <c:v>April 22,2025</c:v>
                  </c:pt>
                  <c:pt idx="22">
                    <c:v>April 23,2025</c:v>
                  </c:pt>
                  <c:pt idx="23">
                    <c:v>April 24,2025</c:v>
                  </c:pt>
                  <c:pt idx="24">
                    <c:v>April 25,2025</c:v>
                  </c:pt>
                  <c:pt idx="25">
                    <c:v>April 26,2025</c:v>
                  </c:pt>
                  <c:pt idx="26">
                    <c:v>April 27,2025</c:v>
                  </c:pt>
                  <c:pt idx="27">
                    <c:v>April 28,2025</c:v>
                  </c:pt>
                  <c:pt idx="28">
                    <c:v>April 29,2025</c:v>
                  </c:pt>
                  <c:pt idx="29">
                    <c:v>April 30,2025</c:v>
                  </c:pt>
                  <c:pt idx="30">
                    <c:v>June 1,2025</c:v>
                  </c:pt>
                  <c:pt idx="31">
                    <c:v>June 3,2025</c:v>
                  </c:pt>
                  <c:pt idx="32">
                    <c:v>March 22,2025</c:v>
                  </c:pt>
                  <c:pt idx="33">
                    <c:v>March 23,2025</c:v>
                  </c:pt>
                  <c:pt idx="34">
                    <c:v>March 24,2025</c:v>
                  </c:pt>
                  <c:pt idx="35">
                    <c:v>March 25,2025</c:v>
                  </c:pt>
                  <c:pt idx="36">
                    <c:v>March 26,2025</c:v>
                  </c:pt>
                  <c:pt idx="37">
                    <c:v>March 27,2025</c:v>
                  </c:pt>
                  <c:pt idx="38">
                    <c:v>March 28,2025</c:v>
                  </c:pt>
                  <c:pt idx="39">
                    <c:v>March 29,2025</c:v>
                  </c:pt>
                  <c:pt idx="40">
                    <c:v>March 30,2025</c:v>
                  </c:pt>
                  <c:pt idx="41">
                    <c:v>March 31,2025</c:v>
                  </c:pt>
                  <c:pt idx="42">
                    <c:v>May 1,2025</c:v>
                  </c:pt>
                  <c:pt idx="43">
                    <c:v>May 17,2025</c:v>
                  </c:pt>
                  <c:pt idx="44">
                    <c:v>May 18,2025</c:v>
                  </c:pt>
                  <c:pt idx="45">
                    <c:v>May 19,2025</c:v>
                  </c:pt>
                  <c:pt idx="46">
                    <c:v>May 2,2025</c:v>
                  </c:pt>
                  <c:pt idx="47">
                    <c:v>May 20,2025</c:v>
                  </c:pt>
                  <c:pt idx="48">
                    <c:v>May 21,2025</c:v>
                  </c:pt>
                  <c:pt idx="49">
                    <c:v>May 22,2025</c:v>
                  </c:pt>
                  <c:pt idx="50">
                    <c:v>May 23,2025</c:v>
                  </c:pt>
                  <c:pt idx="51">
                    <c:v>May 24,2025</c:v>
                  </c:pt>
                  <c:pt idx="52">
                    <c:v>May 25,2025</c:v>
                  </c:pt>
                  <c:pt idx="53">
                    <c:v>May 26,2025</c:v>
                  </c:pt>
                  <c:pt idx="54">
                    <c:v>May 27,2025</c:v>
                  </c:pt>
                  <c:pt idx="55">
                    <c:v>May 29,2025</c:v>
                  </c:pt>
                  <c:pt idx="56">
                    <c:v>May 3,2025</c:v>
                  </c:pt>
                  <c:pt idx="57">
                    <c:v>May 30,2025</c:v>
                  </c:pt>
                  <c:pt idx="58">
                    <c:v>May 4,2025</c:v>
                  </c:pt>
                  <c:pt idx="59">
                    <c:v>May 5,2025</c:v>
                  </c:pt>
                  <c:pt idx="60">
                    <c:v>May 6,2025</c:v>
                  </c:pt>
                  <c:pt idx="61">
                    <c:v>May 7,2025</c:v>
                  </c:pt>
                </c:lvl>
              </c:multiLvlStrCache>
            </c:multiLvlStrRef>
          </c:cat>
          <c:val>
            <c:numRef>
              <c:f>Pivot!$B$13:$B$137</c:f>
              <c:numCache>
                <c:formatCode>General</c:formatCode>
                <c:ptCount val="62"/>
                <c:pt idx="0">
                  <c:v>171</c:v>
                </c:pt>
                <c:pt idx="1">
                  <c:v>169</c:v>
                </c:pt>
                <c:pt idx="2">
                  <c:v>200</c:v>
                </c:pt>
                <c:pt idx="3">
                  <c:v>203</c:v>
                </c:pt>
                <c:pt idx="4">
                  <c:v>388</c:v>
                </c:pt>
                <c:pt idx="5">
                  <c:v>152</c:v>
                </c:pt>
                <c:pt idx="6">
                  <c:v>221</c:v>
                </c:pt>
                <c:pt idx="7">
                  <c:v>457</c:v>
                </c:pt>
                <c:pt idx="8">
                  <c:v>217</c:v>
                </c:pt>
                <c:pt idx="9">
                  <c:v>163</c:v>
                </c:pt>
                <c:pt idx="10">
                  <c:v>103</c:v>
                </c:pt>
                <c:pt idx="11">
                  <c:v>425</c:v>
                </c:pt>
                <c:pt idx="12">
                  <c:v>378</c:v>
                </c:pt>
                <c:pt idx="13">
                  <c:v>166</c:v>
                </c:pt>
                <c:pt idx="14">
                  <c:v>111</c:v>
                </c:pt>
                <c:pt idx="15">
                  <c:v>188</c:v>
                </c:pt>
                <c:pt idx="16">
                  <c:v>162</c:v>
                </c:pt>
                <c:pt idx="17">
                  <c:v>95</c:v>
                </c:pt>
                <c:pt idx="18">
                  <c:v>383</c:v>
                </c:pt>
                <c:pt idx="19">
                  <c:v>333</c:v>
                </c:pt>
                <c:pt idx="20">
                  <c:v>198</c:v>
                </c:pt>
                <c:pt idx="21">
                  <c:v>159</c:v>
                </c:pt>
                <c:pt idx="22">
                  <c:v>143</c:v>
                </c:pt>
                <c:pt idx="23">
                  <c:v>205</c:v>
                </c:pt>
                <c:pt idx="24">
                  <c:v>154</c:v>
                </c:pt>
                <c:pt idx="25">
                  <c:v>201</c:v>
                </c:pt>
                <c:pt idx="26">
                  <c:v>377</c:v>
                </c:pt>
                <c:pt idx="27">
                  <c:v>209</c:v>
                </c:pt>
                <c:pt idx="28">
                  <c:v>204</c:v>
                </c:pt>
                <c:pt idx="29">
                  <c:v>190</c:v>
                </c:pt>
                <c:pt idx="30">
                  <c:v>203</c:v>
                </c:pt>
                <c:pt idx="31">
                  <c:v>190</c:v>
                </c:pt>
                <c:pt idx="32">
                  <c:v>174</c:v>
                </c:pt>
                <c:pt idx="33">
                  <c:v>441</c:v>
                </c:pt>
                <c:pt idx="34">
                  <c:v>209</c:v>
                </c:pt>
                <c:pt idx="35">
                  <c:v>243</c:v>
                </c:pt>
                <c:pt idx="36">
                  <c:v>151</c:v>
                </c:pt>
                <c:pt idx="37">
                  <c:v>190</c:v>
                </c:pt>
                <c:pt idx="38">
                  <c:v>196</c:v>
                </c:pt>
                <c:pt idx="39">
                  <c:v>196</c:v>
                </c:pt>
                <c:pt idx="40">
                  <c:v>345</c:v>
                </c:pt>
                <c:pt idx="41">
                  <c:v>116</c:v>
                </c:pt>
                <c:pt idx="42">
                  <c:v>217</c:v>
                </c:pt>
                <c:pt idx="44">
                  <c:v>418</c:v>
                </c:pt>
                <c:pt idx="45">
                  <c:v>205</c:v>
                </c:pt>
                <c:pt idx="46">
                  <c:v>224</c:v>
                </c:pt>
                <c:pt idx="47">
                  <c:v>187</c:v>
                </c:pt>
                <c:pt idx="48">
                  <c:v>180</c:v>
                </c:pt>
                <c:pt idx="49">
                  <c:v>235</c:v>
                </c:pt>
                <c:pt idx="50">
                  <c:v>231</c:v>
                </c:pt>
                <c:pt idx="51">
                  <c:v>206</c:v>
                </c:pt>
                <c:pt idx="52">
                  <c:v>508</c:v>
                </c:pt>
                <c:pt idx="53">
                  <c:v>184</c:v>
                </c:pt>
                <c:pt idx="54">
                  <c:v>227</c:v>
                </c:pt>
                <c:pt idx="55">
                  <c:v>101</c:v>
                </c:pt>
                <c:pt idx="56">
                  <c:v>213</c:v>
                </c:pt>
                <c:pt idx="57">
                  <c:v>228</c:v>
                </c:pt>
                <c:pt idx="58">
                  <c:v>442</c:v>
                </c:pt>
                <c:pt idx="59">
                  <c:v>133</c:v>
                </c:pt>
                <c:pt idx="60">
                  <c:v>155</c:v>
                </c:pt>
                <c:pt idx="61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65-433A-9F6B-EDB95877D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060176"/>
        <c:axId val="1002061616"/>
      </c:lineChart>
      <c:catAx>
        <c:axId val="100206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rgbClr val="00206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2061616"/>
        <c:crosses val="autoZero"/>
        <c:auto val="1"/>
        <c:lblAlgn val="ctr"/>
        <c:lblOffset val="100"/>
        <c:noMultiLvlLbl val="0"/>
      </c:catAx>
      <c:valAx>
        <c:axId val="1002061616"/>
        <c:scaling>
          <c:orientation val="minMax"/>
        </c:scaling>
        <c:delete val="0"/>
        <c:axPos val="l"/>
        <c:majorGridlines/>
        <c:numFmt formatCode="#,##0," sourceLinked="0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rgbClr val="00206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206017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[ipl match data dashboard.xlsm]Pivot!WinsByTossDecision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1666305473283725"/>
          <c:y val="0.42363687279675816"/>
          <c:w val="0.43861237528795138"/>
          <c:h val="0.43348762889994397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Pivot!$B$7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Pivot!$A$8:$A$9</c:f>
              <c:strCache>
                <c:ptCount val="1"/>
                <c:pt idx="0">
                  <c:v>Bat</c:v>
                </c:pt>
              </c:strCache>
            </c:strRef>
          </c:cat>
          <c:val>
            <c:numRef>
              <c:f>Pivot!$B$8:$B$9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A-4AA2-8E4D-70503D702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8718544"/>
        <c:axId val="1598719504"/>
      </c:barChart>
      <c:catAx>
        <c:axId val="1598718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rgbClr val="00206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8719504"/>
        <c:crosses val="autoZero"/>
        <c:auto val="1"/>
        <c:lblAlgn val="ctr"/>
        <c:lblOffset val="100"/>
        <c:noMultiLvlLbl val="0"/>
      </c:catAx>
      <c:valAx>
        <c:axId val="1598719504"/>
        <c:scaling>
          <c:orientation val="minMax"/>
        </c:scaling>
        <c:delete val="0"/>
        <c:axPos val="b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rgbClr val="00206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871854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[ipl match data dashboard.xlsm]Pivot!RunsByVenue</c:name>
    <c:fmtId val="0"/>
  </c:pivotSource>
  <c:chart>
    <c:title>
      <c:layout>
        <c:manualLayout>
          <c:xMode val="edge"/>
          <c:yMode val="edge"/>
          <c:x val="0.61586296810937846"/>
          <c:y val="2.97132669737037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6.3533786217899235E-2"/>
          <c:y val="0.16869026395285494"/>
          <c:w val="0.55916447944006997"/>
          <c:h val="0.80709589956915762"/>
        </c:manualLayout>
      </c:layout>
      <c:doughnutChart>
        <c:varyColors val="1"/>
        <c:ser>
          <c:idx val="0"/>
          <c:order val="0"/>
          <c:tx>
            <c:strRef>
              <c:f>Pivot!$B$205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FE8-4D3F-9808-064BA9D23F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FE8-4D3F-9808-064BA9D23F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FE8-4D3F-9808-064BA9D23F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FE8-4D3F-9808-064BA9D23F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FE8-4D3F-9808-064BA9D23F1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FE8-4D3F-9808-064BA9D23F1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FE8-4D3F-9808-064BA9D23F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FE8-4D3F-9808-064BA9D23F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FE8-4D3F-9808-064BA9D23F1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FE8-4D3F-9808-064BA9D23F1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FE8-4D3F-9808-064BA9D23F1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FE8-4D3F-9808-064BA9D23F1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CFE8-4D3F-9808-064BA9D23F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Pivot!$A$206:$A$219</c:f>
              <c:strCache>
                <c:ptCount val="13"/>
                <c:pt idx="0">
                  <c:v>ACA-VDCA Cricket Stadium, Vishakhapatnam</c:v>
                </c:pt>
                <c:pt idx="1">
                  <c:v>Arun Jaitley Stadium, Delhi</c:v>
                </c:pt>
                <c:pt idx="2">
                  <c:v>Barsapara Stadium, Guwahati</c:v>
                </c:pt>
                <c:pt idx="3">
                  <c:v>Eden Gardens, Kolkata</c:v>
                </c:pt>
                <c:pt idx="4">
                  <c:v>Ekana Cricket Stadium, Lucknow</c:v>
                </c:pt>
                <c:pt idx="5">
                  <c:v>HPCA Stadium, Dharamshala</c:v>
                </c:pt>
                <c:pt idx="6">
                  <c:v>M. Chinnaswamy Stadium, Bangalore</c:v>
                </c:pt>
                <c:pt idx="7">
                  <c:v>MA Chidambaram Stadium, Chennai</c:v>
                </c:pt>
                <c:pt idx="8">
                  <c:v>Narendra Modi Stadium, Ahmedabad</c:v>
                </c:pt>
                <c:pt idx="9">
                  <c:v>New PCA Cricket Stadium, Mullanpur</c:v>
                </c:pt>
                <c:pt idx="10">
                  <c:v>Rajiv Gandhi International Stadium, Hyderabad</c:v>
                </c:pt>
                <c:pt idx="11">
                  <c:v>Sawai Mansingh Stadium, Jaipur</c:v>
                </c:pt>
                <c:pt idx="12">
                  <c:v>Wankhede Stadium, Mumbai</c:v>
                </c:pt>
              </c:strCache>
            </c:strRef>
          </c:cat>
          <c:val>
            <c:numRef>
              <c:f>Pivot!$B$206:$B$219</c:f>
              <c:numCache>
                <c:formatCode>General</c:formatCode>
                <c:ptCount val="13"/>
                <c:pt idx="0">
                  <c:v>372</c:v>
                </c:pt>
                <c:pt idx="1">
                  <c:v>1423</c:v>
                </c:pt>
                <c:pt idx="2">
                  <c:v>333</c:v>
                </c:pt>
                <c:pt idx="3">
                  <c:v>1396</c:v>
                </c:pt>
                <c:pt idx="4">
                  <c:v>1542</c:v>
                </c:pt>
                <c:pt idx="5">
                  <c:v>236</c:v>
                </c:pt>
                <c:pt idx="6">
                  <c:v>845</c:v>
                </c:pt>
                <c:pt idx="7">
                  <c:v>981</c:v>
                </c:pt>
                <c:pt idx="8">
                  <c:v>1941</c:v>
                </c:pt>
                <c:pt idx="9">
                  <c:v>1021</c:v>
                </c:pt>
                <c:pt idx="10">
                  <c:v>1149</c:v>
                </c:pt>
                <c:pt idx="11">
                  <c:v>1388</c:v>
                </c:pt>
                <c:pt idx="12">
                  <c:v>1225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B8-428E-AD52-4DC322AE64F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[ipl match data dashboard.xlsm]Pivot!TotalWinMarginRuns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7173175322781621E-2"/>
          <c:y val="0.28125192684247802"/>
          <c:w val="0.90282682467721842"/>
          <c:h val="0.3569333000041661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Pivot!$A$4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Pivot!$A$5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Pivot!$A$5</c:f>
              <c:numCache>
                <c:formatCode>General</c:formatCode>
                <c:ptCount val="1"/>
                <c:pt idx="0">
                  <c:v>1095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6C-4BC8-A37A-1255F4A46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9471792"/>
        <c:axId val="549472272"/>
        <c:axId val="0"/>
      </c:bar3DChart>
      <c:catAx>
        <c:axId val="54947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rgbClr val="00206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9472272"/>
        <c:crosses val="autoZero"/>
        <c:auto val="1"/>
        <c:lblAlgn val="ctr"/>
        <c:lblOffset val="100"/>
        <c:noMultiLvlLbl val="0"/>
      </c:catAx>
      <c:valAx>
        <c:axId val="549472272"/>
        <c:scaling>
          <c:orientation val="minMax"/>
        </c:scaling>
        <c:delete val="0"/>
        <c:axPos val="l"/>
        <c:majorGridlines/>
        <c:numFmt formatCode="#,##0," sourceLinked="0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rgbClr val="00206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9471792"/>
        <c:crosses val="autoZero"/>
        <c:crossBetween val="between"/>
      </c:valAx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[ipl match data dashboard.xlsm]Pivot!TeamWinMarginsByRuns</c:name>
    <c:fmtId val="0"/>
  </c:pivotSource>
  <c:chart>
    <c:title>
      <c:layout>
        <c:manualLayout>
          <c:xMode val="edge"/>
          <c:yMode val="edge"/>
          <c:x val="0.38547970759853367"/>
          <c:y val="0.257695060844667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7827306710628119"/>
          <c:y val="0.51413743736578377"/>
          <c:w val="0.20374648416881774"/>
          <c:h val="0.41165105985128481"/>
        </c:manualLayout>
      </c:layout>
      <c:doughnutChart>
        <c:varyColors val="1"/>
        <c:ser>
          <c:idx val="0"/>
          <c:order val="0"/>
          <c:tx>
            <c:strRef>
              <c:f>Pivot!$B$224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8AB-4F36-B608-5351161AD38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8AB-4F36-B608-5351161AD38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8AB-4F36-B608-5351161AD38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8AB-4F36-B608-5351161AD38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8AB-4F36-B608-5351161AD38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8AB-4F36-B608-5351161AD38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8AB-4F36-B608-5351161AD381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8AB-4F36-B608-5351161AD381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8AB-4F36-B608-5351161AD381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8AB-4F36-B608-5351161AD381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8AB-4F36-B608-5351161AD381}"/>
              </c:ext>
            </c:extLst>
          </c:dPt>
          <c:cat>
            <c:strRef>
              <c:f>Pivot!$A$225:$A$236</c:f>
              <c:strCache>
                <c:ptCount val="11"/>
                <c:pt idx="0">
                  <c:v>CSK</c:v>
                </c:pt>
                <c:pt idx="1">
                  <c:v>DC</c:v>
                </c:pt>
                <c:pt idx="2">
                  <c:v>GT</c:v>
                </c:pt>
                <c:pt idx="3">
                  <c:v>KKR</c:v>
                </c:pt>
                <c:pt idx="4">
                  <c:v>LSG</c:v>
                </c:pt>
                <c:pt idx="5">
                  <c:v>MI</c:v>
                </c:pt>
                <c:pt idx="6">
                  <c:v>PBKS</c:v>
                </c:pt>
                <c:pt idx="7">
                  <c:v>RCB</c:v>
                </c:pt>
                <c:pt idx="8">
                  <c:v>RR</c:v>
                </c:pt>
                <c:pt idx="9">
                  <c:v>SRH</c:v>
                </c:pt>
                <c:pt idx="10">
                  <c:v>(blank)</c:v>
                </c:pt>
              </c:strCache>
            </c:strRef>
          </c:cat>
          <c:val>
            <c:numRef>
              <c:f>Pivot!$B$225:$B$236</c:f>
              <c:numCache>
                <c:formatCode>General</c:formatCode>
                <c:ptCount val="11"/>
                <c:pt idx="0">
                  <c:v>83</c:v>
                </c:pt>
                <c:pt idx="1">
                  <c:v>37</c:v>
                </c:pt>
                <c:pt idx="2">
                  <c:v>171</c:v>
                </c:pt>
                <c:pt idx="3">
                  <c:v>95</c:v>
                </c:pt>
                <c:pt idx="4">
                  <c:v>51</c:v>
                </c:pt>
                <c:pt idx="5">
                  <c:v>233</c:v>
                </c:pt>
                <c:pt idx="6">
                  <c:v>92</c:v>
                </c:pt>
                <c:pt idx="7">
                  <c:v>81</c:v>
                </c:pt>
                <c:pt idx="8">
                  <c:v>56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7-45F2-9794-7181F039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layout>
        <c:manualLayout>
          <c:xMode val="edge"/>
          <c:yMode val="edge"/>
          <c:x val="0.58103764921946732"/>
          <c:y val="3.1122083765503322E-2"/>
          <c:w val="0.3133608815426997"/>
          <c:h val="0.931397455188231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[ipl match data dashboard.xlsm]Pivot!RunsByTossDecisionTrend</c:name>
    <c:fmtId val="0"/>
  </c:pivotSource>
  <c:chart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Pivot!$B$238:$B$239</c:f>
              <c:strCache>
                <c:ptCount val="1"/>
                <c:pt idx="0">
                  <c:v>Bat</c:v>
                </c:pt>
              </c:strCache>
            </c:strRef>
          </c:tx>
          <c:cat>
            <c:multiLvlStrRef>
              <c:f>Pivot!$A$240:$A$364</c:f>
              <c:multiLvlStrCache>
                <c:ptCount val="62"/>
                <c:lvl>
                  <c:pt idx="0">
                    <c:v>April 01,2025</c:v>
                  </c:pt>
                  <c:pt idx="1">
                    <c:v>April 02,2025</c:v>
                  </c:pt>
                  <c:pt idx="2">
                    <c:v>April 03,2025</c:v>
                  </c:pt>
                  <c:pt idx="3">
                    <c:v>April 04,2025</c:v>
                  </c:pt>
                  <c:pt idx="4">
                    <c:v>April 05,2025</c:v>
                  </c:pt>
                  <c:pt idx="5">
                    <c:v>April 06,2025</c:v>
                  </c:pt>
                  <c:pt idx="6">
                    <c:v>April 07,2025</c:v>
                  </c:pt>
                  <c:pt idx="7">
                    <c:v>April 08,2025</c:v>
                  </c:pt>
                  <c:pt idx="8">
                    <c:v>April 09,2025</c:v>
                  </c:pt>
                  <c:pt idx="9">
                    <c:v>April 10,2025</c:v>
                  </c:pt>
                  <c:pt idx="10">
                    <c:v>April 11,2025</c:v>
                  </c:pt>
                  <c:pt idx="11">
                    <c:v>April 12,2025</c:v>
                  </c:pt>
                  <c:pt idx="12">
                    <c:v>April 13,2025</c:v>
                  </c:pt>
                  <c:pt idx="13">
                    <c:v>April 14,2025</c:v>
                  </c:pt>
                  <c:pt idx="14">
                    <c:v>April 15,2025</c:v>
                  </c:pt>
                  <c:pt idx="15">
                    <c:v>April 16,2025</c:v>
                  </c:pt>
                  <c:pt idx="16">
                    <c:v>April 17,2025</c:v>
                  </c:pt>
                  <c:pt idx="17">
                    <c:v>April 18,2025</c:v>
                  </c:pt>
                  <c:pt idx="18">
                    <c:v>April 19,2025</c:v>
                  </c:pt>
                  <c:pt idx="19">
                    <c:v>April 20,2025</c:v>
                  </c:pt>
                  <c:pt idx="20">
                    <c:v>April 21,2025</c:v>
                  </c:pt>
                  <c:pt idx="21">
                    <c:v>April 22,2025</c:v>
                  </c:pt>
                  <c:pt idx="22">
                    <c:v>April 23,2025</c:v>
                  </c:pt>
                  <c:pt idx="23">
                    <c:v>April 24,2025</c:v>
                  </c:pt>
                  <c:pt idx="24">
                    <c:v>April 25,2025</c:v>
                  </c:pt>
                  <c:pt idx="25">
                    <c:v>April 26,2025</c:v>
                  </c:pt>
                  <c:pt idx="26">
                    <c:v>April 27,2025</c:v>
                  </c:pt>
                  <c:pt idx="27">
                    <c:v>April 28,2025</c:v>
                  </c:pt>
                  <c:pt idx="28">
                    <c:v>April 29,2025</c:v>
                  </c:pt>
                  <c:pt idx="29">
                    <c:v>April 30,2025</c:v>
                  </c:pt>
                  <c:pt idx="30">
                    <c:v>June 1,2025</c:v>
                  </c:pt>
                  <c:pt idx="31">
                    <c:v>June 3,2025</c:v>
                  </c:pt>
                  <c:pt idx="32">
                    <c:v>March 22,2025</c:v>
                  </c:pt>
                  <c:pt idx="33">
                    <c:v>March 23,2025</c:v>
                  </c:pt>
                  <c:pt idx="34">
                    <c:v>March 24,2025</c:v>
                  </c:pt>
                  <c:pt idx="35">
                    <c:v>March 25,2025</c:v>
                  </c:pt>
                  <c:pt idx="36">
                    <c:v>March 26,2025</c:v>
                  </c:pt>
                  <c:pt idx="37">
                    <c:v>March 27,2025</c:v>
                  </c:pt>
                  <c:pt idx="38">
                    <c:v>March 28,2025</c:v>
                  </c:pt>
                  <c:pt idx="39">
                    <c:v>March 29,2025</c:v>
                  </c:pt>
                  <c:pt idx="40">
                    <c:v>March 30,2025</c:v>
                  </c:pt>
                  <c:pt idx="41">
                    <c:v>March 31,2025</c:v>
                  </c:pt>
                  <c:pt idx="42">
                    <c:v>May 1,2025</c:v>
                  </c:pt>
                  <c:pt idx="43">
                    <c:v>May 17,2025</c:v>
                  </c:pt>
                  <c:pt idx="44">
                    <c:v>May 18,2025</c:v>
                  </c:pt>
                  <c:pt idx="45">
                    <c:v>May 19,2025</c:v>
                  </c:pt>
                  <c:pt idx="46">
                    <c:v>May 2,2025</c:v>
                  </c:pt>
                  <c:pt idx="47">
                    <c:v>May 20,2025</c:v>
                  </c:pt>
                  <c:pt idx="48">
                    <c:v>May 21,2025</c:v>
                  </c:pt>
                  <c:pt idx="49">
                    <c:v>May 22,2025</c:v>
                  </c:pt>
                  <c:pt idx="50">
                    <c:v>May 23,2025</c:v>
                  </c:pt>
                  <c:pt idx="51">
                    <c:v>May 24,2025</c:v>
                  </c:pt>
                  <c:pt idx="52">
                    <c:v>May 25,2025</c:v>
                  </c:pt>
                  <c:pt idx="53">
                    <c:v>May 26,2025</c:v>
                  </c:pt>
                  <c:pt idx="54">
                    <c:v>May 27,2025</c:v>
                  </c:pt>
                  <c:pt idx="55">
                    <c:v>May 29,2025</c:v>
                  </c:pt>
                  <c:pt idx="56">
                    <c:v>May 3,2025</c:v>
                  </c:pt>
                  <c:pt idx="57">
                    <c:v>May 30,2025</c:v>
                  </c:pt>
                  <c:pt idx="58">
                    <c:v>May 4,2025</c:v>
                  </c:pt>
                  <c:pt idx="59">
                    <c:v>May 5,2025</c:v>
                  </c:pt>
                  <c:pt idx="60">
                    <c:v>May 6,2025</c:v>
                  </c:pt>
                  <c:pt idx="61">
                    <c:v>May 7,2025</c:v>
                  </c:pt>
                </c:lvl>
                <c:lvl>
                  <c:pt idx="0">
                    <c:v>April 01,2025</c:v>
                  </c:pt>
                  <c:pt idx="1">
                    <c:v>April 02,2025</c:v>
                  </c:pt>
                  <c:pt idx="2">
                    <c:v>April 03,2025</c:v>
                  </c:pt>
                  <c:pt idx="3">
                    <c:v>April 04,2025</c:v>
                  </c:pt>
                  <c:pt idx="4">
                    <c:v>April 05,2025</c:v>
                  </c:pt>
                  <c:pt idx="5">
                    <c:v>April 06,2025</c:v>
                  </c:pt>
                  <c:pt idx="6">
                    <c:v>April 07,2025</c:v>
                  </c:pt>
                  <c:pt idx="7">
                    <c:v>April 08,2025</c:v>
                  </c:pt>
                  <c:pt idx="8">
                    <c:v>April 09,2025</c:v>
                  </c:pt>
                  <c:pt idx="9">
                    <c:v>April 10,2025</c:v>
                  </c:pt>
                  <c:pt idx="10">
                    <c:v>April 11,2025</c:v>
                  </c:pt>
                  <c:pt idx="11">
                    <c:v>April 12,2025</c:v>
                  </c:pt>
                  <c:pt idx="12">
                    <c:v>April 13,2025</c:v>
                  </c:pt>
                  <c:pt idx="13">
                    <c:v>April 14,2025</c:v>
                  </c:pt>
                  <c:pt idx="14">
                    <c:v>April 15,2025</c:v>
                  </c:pt>
                  <c:pt idx="15">
                    <c:v>April 16,2025</c:v>
                  </c:pt>
                  <c:pt idx="16">
                    <c:v>April 17,2025</c:v>
                  </c:pt>
                  <c:pt idx="17">
                    <c:v>April 18,2025</c:v>
                  </c:pt>
                  <c:pt idx="18">
                    <c:v>April 19,2025</c:v>
                  </c:pt>
                  <c:pt idx="19">
                    <c:v>April 20,2025</c:v>
                  </c:pt>
                  <c:pt idx="20">
                    <c:v>April 21,2025</c:v>
                  </c:pt>
                  <c:pt idx="21">
                    <c:v>April 22,2025</c:v>
                  </c:pt>
                  <c:pt idx="22">
                    <c:v>April 23,2025</c:v>
                  </c:pt>
                  <c:pt idx="23">
                    <c:v>April 24,2025</c:v>
                  </c:pt>
                  <c:pt idx="24">
                    <c:v>April 25,2025</c:v>
                  </c:pt>
                  <c:pt idx="25">
                    <c:v>April 26,2025</c:v>
                  </c:pt>
                  <c:pt idx="26">
                    <c:v>April 27,2025</c:v>
                  </c:pt>
                  <c:pt idx="27">
                    <c:v>April 28,2025</c:v>
                  </c:pt>
                  <c:pt idx="28">
                    <c:v>April 29,2025</c:v>
                  </c:pt>
                  <c:pt idx="29">
                    <c:v>April 30,2025</c:v>
                  </c:pt>
                  <c:pt idx="30">
                    <c:v>June 1,2025</c:v>
                  </c:pt>
                  <c:pt idx="31">
                    <c:v>June 3,2025</c:v>
                  </c:pt>
                  <c:pt idx="32">
                    <c:v>March 22,2025</c:v>
                  </c:pt>
                  <c:pt idx="33">
                    <c:v>March 23,2025</c:v>
                  </c:pt>
                  <c:pt idx="34">
                    <c:v>March 24,2025</c:v>
                  </c:pt>
                  <c:pt idx="35">
                    <c:v>March 25,2025</c:v>
                  </c:pt>
                  <c:pt idx="36">
                    <c:v>March 26,2025</c:v>
                  </c:pt>
                  <c:pt idx="37">
                    <c:v>March 27,2025</c:v>
                  </c:pt>
                  <c:pt idx="38">
                    <c:v>March 28,2025</c:v>
                  </c:pt>
                  <c:pt idx="39">
                    <c:v>March 29,2025</c:v>
                  </c:pt>
                  <c:pt idx="40">
                    <c:v>March 30,2025</c:v>
                  </c:pt>
                  <c:pt idx="41">
                    <c:v>March 31,2025</c:v>
                  </c:pt>
                  <c:pt idx="42">
                    <c:v>May 1,2025</c:v>
                  </c:pt>
                  <c:pt idx="43">
                    <c:v>May 17,2025</c:v>
                  </c:pt>
                  <c:pt idx="44">
                    <c:v>May 18,2025</c:v>
                  </c:pt>
                  <c:pt idx="45">
                    <c:v>May 19,2025</c:v>
                  </c:pt>
                  <c:pt idx="46">
                    <c:v>May 2,2025</c:v>
                  </c:pt>
                  <c:pt idx="47">
                    <c:v>May 20,2025</c:v>
                  </c:pt>
                  <c:pt idx="48">
                    <c:v>May 21,2025</c:v>
                  </c:pt>
                  <c:pt idx="49">
                    <c:v>May 22,2025</c:v>
                  </c:pt>
                  <c:pt idx="50">
                    <c:v>May 23,2025</c:v>
                  </c:pt>
                  <c:pt idx="51">
                    <c:v>May 24,2025</c:v>
                  </c:pt>
                  <c:pt idx="52">
                    <c:v>May 25,2025</c:v>
                  </c:pt>
                  <c:pt idx="53">
                    <c:v>May 26,2025</c:v>
                  </c:pt>
                  <c:pt idx="54">
                    <c:v>May 27,2025</c:v>
                  </c:pt>
                  <c:pt idx="55">
                    <c:v>May 29,2025</c:v>
                  </c:pt>
                  <c:pt idx="56">
                    <c:v>May 3,2025</c:v>
                  </c:pt>
                  <c:pt idx="57">
                    <c:v>May 30,2025</c:v>
                  </c:pt>
                  <c:pt idx="58">
                    <c:v>May 4,2025</c:v>
                  </c:pt>
                  <c:pt idx="59">
                    <c:v>May 5,2025</c:v>
                  </c:pt>
                  <c:pt idx="60">
                    <c:v>May 6,2025</c:v>
                  </c:pt>
                  <c:pt idx="61">
                    <c:v>May 7,2025</c:v>
                  </c:pt>
                </c:lvl>
              </c:multiLvlStrCache>
            </c:multiLvlStrRef>
          </c:cat>
          <c:val>
            <c:numRef>
              <c:f>Pivot!$B$240:$B$364</c:f>
              <c:numCache>
                <c:formatCode>General</c:formatCode>
                <c:ptCount val="62"/>
                <c:pt idx="4">
                  <c:v>183</c:v>
                </c:pt>
                <c:pt idx="7">
                  <c:v>219</c:v>
                </c:pt>
                <c:pt idx="11">
                  <c:v>245</c:v>
                </c:pt>
                <c:pt idx="14">
                  <c:v>111</c:v>
                </c:pt>
                <c:pt idx="18">
                  <c:v>180</c:v>
                </c:pt>
                <c:pt idx="25">
                  <c:v>201</c:v>
                </c:pt>
                <c:pt idx="40">
                  <c:v>163</c:v>
                </c:pt>
                <c:pt idx="44">
                  <c:v>219</c:v>
                </c:pt>
                <c:pt idx="52">
                  <c:v>508</c:v>
                </c:pt>
                <c:pt idx="57">
                  <c:v>228</c:v>
                </c:pt>
                <c:pt idx="58">
                  <c:v>206</c:v>
                </c:pt>
                <c:pt idx="61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9F-4E5C-B45F-27F327D212EA}"/>
            </c:ext>
          </c:extLst>
        </c:ser>
        <c:ser>
          <c:idx val="1"/>
          <c:order val="1"/>
          <c:tx>
            <c:strRef>
              <c:f>Pivot!$C$238:$C$239</c:f>
              <c:strCache>
                <c:ptCount val="1"/>
                <c:pt idx="0">
                  <c:v>Bowl</c:v>
                </c:pt>
              </c:strCache>
            </c:strRef>
          </c:tx>
          <c:cat>
            <c:multiLvlStrRef>
              <c:f>Pivot!$A$240:$A$364</c:f>
              <c:multiLvlStrCache>
                <c:ptCount val="62"/>
                <c:lvl>
                  <c:pt idx="0">
                    <c:v>April 01,2025</c:v>
                  </c:pt>
                  <c:pt idx="1">
                    <c:v>April 02,2025</c:v>
                  </c:pt>
                  <c:pt idx="2">
                    <c:v>April 03,2025</c:v>
                  </c:pt>
                  <c:pt idx="3">
                    <c:v>April 04,2025</c:v>
                  </c:pt>
                  <c:pt idx="4">
                    <c:v>April 05,2025</c:v>
                  </c:pt>
                  <c:pt idx="5">
                    <c:v>April 06,2025</c:v>
                  </c:pt>
                  <c:pt idx="6">
                    <c:v>April 07,2025</c:v>
                  </c:pt>
                  <c:pt idx="7">
                    <c:v>April 08,2025</c:v>
                  </c:pt>
                  <c:pt idx="8">
                    <c:v>April 09,2025</c:v>
                  </c:pt>
                  <c:pt idx="9">
                    <c:v>April 10,2025</c:v>
                  </c:pt>
                  <c:pt idx="10">
                    <c:v>April 11,2025</c:v>
                  </c:pt>
                  <c:pt idx="11">
                    <c:v>April 12,2025</c:v>
                  </c:pt>
                  <c:pt idx="12">
                    <c:v>April 13,2025</c:v>
                  </c:pt>
                  <c:pt idx="13">
                    <c:v>April 14,2025</c:v>
                  </c:pt>
                  <c:pt idx="14">
                    <c:v>April 15,2025</c:v>
                  </c:pt>
                  <c:pt idx="15">
                    <c:v>April 16,2025</c:v>
                  </c:pt>
                  <c:pt idx="16">
                    <c:v>April 17,2025</c:v>
                  </c:pt>
                  <c:pt idx="17">
                    <c:v>April 18,2025</c:v>
                  </c:pt>
                  <c:pt idx="18">
                    <c:v>April 19,2025</c:v>
                  </c:pt>
                  <c:pt idx="19">
                    <c:v>April 20,2025</c:v>
                  </c:pt>
                  <c:pt idx="20">
                    <c:v>April 21,2025</c:v>
                  </c:pt>
                  <c:pt idx="21">
                    <c:v>April 22,2025</c:v>
                  </c:pt>
                  <c:pt idx="22">
                    <c:v>April 23,2025</c:v>
                  </c:pt>
                  <c:pt idx="23">
                    <c:v>April 24,2025</c:v>
                  </c:pt>
                  <c:pt idx="24">
                    <c:v>April 25,2025</c:v>
                  </c:pt>
                  <c:pt idx="25">
                    <c:v>April 26,2025</c:v>
                  </c:pt>
                  <c:pt idx="26">
                    <c:v>April 27,2025</c:v>
                  </c:pt>
                  <c:pt idx="27">
                    <c:v>April 28,2025</c:v>
                  </c:pt>
                  <c:pt idx="28">
                    <c:v>April 29,2025</c:v>
                  </c:pt>
                  <c:pt idx="29">
                    <c:v>April 30,2025</c:v>
                  </c:pt>
                  <c:pt idx="30">
                    <c:v>June 1,2025</c:v>
                  </c:pt>
                  <c:pt idx="31">
                    <c:v>June 3,2025</c:v>
                  </c:pt>
                  <c:pt idx="32">
                    <c:v>March 22,2025</c:v>
                  </c:pt>
                  <c:pt idx="33">
                    <c:v>March 23,2025</c:v>
                  </c:pt>
                  <c:pt idx="34">
                    <c:v>March 24,2025</c:v>
                  </c:pt>
                  <c:pt idx="35">
                    <c:v>March 25,2025</c:v>
                  </c:pt>
                  <c:pt idx="36">
                    <c:v>March 26,2025</c:v>
                  </c:pt>
                  <c:pt idx="37">
                    <c:v>March 27,2025</c:v>
                  </c:pt>
                  <c:pt idx="38">
                    <c:v>March 28,2025</c:v>
                  </c:pt>
                  <c:pt idx="39">
                    <c:v>March 29,2025</c:v>
                  </c:pt>
                  <c:pt idx="40">
                    <c:v>March 30,2025</c:v>
                  </c:pt>
                  <c:pt idx="41">
                    <c:v>March 31,2025</c:v>
                  </c:pt>
                  <c:pt idx="42">
                    <c:v>May 1,2025</c:v>
                  </c:pt>
                  <c:pt idx="43">
                    <c:v>May 17,2025</c:v>
                  </c:pt>
                  <c:pt idx="44">
                    <c:v>May 18,2025</c:v>
                  </c:pt>
                  <c:pt idx="45">
                    <c:v>May 19,2025</c:v>
                  </c:pt>
                  <c:pt idx="46">
                    <c:v>May 2,2025</c:v>
                  </c:pt>
                  <c:pt idx="47">
                    <c:v>May 20,2025</c:v>
                  </c:pt>
                  <c:pt idx="48">
                    <c:v>May 21,2025</c:v>
                  </c:pt>
                  <c:pt idx="49">
                    <c:v>May 22,2025</c:v>
                  </c:pt>
                  <c:pt idx="50">
                    <c:v>May 23,2025</c:v>
                  </c:pt>
                  <c:pt idx="51">
                    <c:v>May 24,2025</c:v>
                  </c:pt>
                  <c:pt idx="52">
                    <c:v>May 25,2025</c:v>
                  </c:pt>
                  <c:pt idx="53">
                    <c:v>May 26,2025</c:v>
                  </c:pt>
                  <c:pt idx="54">
                    <c:v>May 27,2025</c:v>
                  </c:pt>
                  <c:pt idx="55">
                    <c:v>May 29,2025</c:v>
                  </c:pt>
                  <c:pt idx="56">
                    <c:v>May 3,2025</c:v>
                  </c:pt>
                  <c:pt idx="57">
                    <c:v>May 30,2025</c:v>
                  </c:pt>
                  <c:pt idx="58">
                    <c:v>May 4,2025</c:v>
                  </c:pt>
                  <c:pt idx="59">
                    <c:v>May 5,2025</c:v>
                  </c:pt>
                  <c:pt idx="60">
                    <c:v>May 6,2025</c:v>
                  </c:pt>
                  <c:pt idx="61">
                    <c:v>May 7,2025</c:v>
                  </c:pt>
                </c:lvl>
                <c:lvl>
                  <c:pt idx="0">
                    <c:v>April 01,2025</c:v>
                  </c:pt>
                  <c:pt idx="1">
                    <c:v>April 02,2025</c:v>
                  </c:pt>
                  <c:pt idx="2">
                    <c:v>April 03,2025</c:v>
                  </c:pt>
                  <c:pt idx="3">
                    <c:v>April 04,2025</c:v>
                  </c:pt>
                  <c:pt idx="4">
                    <c:v>April 05,2025</c:v>
                  </c:pt>
                  <c:pt idx="5">
                    <c:v>April 06,2025</c:v>
                  </c:pt>
                  <c:pt idx="6">
                    <c:v>April 07,2025</c:v>
                  </c:pt>
                  <c:pt idx="7">
                    <c:v>April 08,2025</c:v>
                  </c:pt>
                  <c:pt idx="8">
                    <c:v>April 09,2025</c:v>
                  </c:pt>
                  <c:pt idx="9">
                    <c:v>April 10,2025</c:v>
                  </c:pt>
                  <c:pt idx="10">
                    <c:v>April 11,2025</c:v>
                  </c:pt>
                  <c:pt idx="11">
                    <c:v>April 12,2025</c:v>
                  </c:pt>
                  <c:pt idx="12">
                    <c:v>April 13,2025</c:v>
                  </c:pt>
                  <c:pt idx="13">
                    <c:v>April 14,2025</c:v>
                  </c:pt>
                  <c:pt idx="14">
                    <c:v>April 15,2025</c:v>
                  </c:pt>
                  <c:pt idx="15">
                    <c:v>April 16,2025</c:v>
                  </c:pt>
                  <c:pt idx="16">
                    <c:v>April 17,2025</c:v>
                  </c:pt>
                  <c:pt idx="17">
                    <c:v>April 18,2025</c:v>
                  </c:pt>
                  <c:pt idx="18">
                    <c:v>April 19,2025</c:v>
                  </c:pt>
                  <c:pt idx="19">
                    <c:v>April 20,2025</c:v>
                  </c:pt>
                  <c:pt idx="20">
                    <c:v>April 21,2025</c:v>
                  </c:pt>
                  <c:pt idx="21">
                    <c:v>April 22,2025</c:v>
                  </c:pt>
                  <c:pt idx="22">
                    <c:v>April 23,2025</c:v>
                  </c:pt>
                  <c:pt idx="23">
                    <c:v>April 24,2025</c:v>
                  </c:pt>
                  <c:pt idx="24">
                    <c:v>April 25,2025</c:v>
                  </c:pt>
                  <c:pt idx="25">
                    <c:v>April 26,2025</c:v>
                  </c:pt>
                  <c:pt idx="26">
                    <c:v>April 27,2025</c:v>
                  </c:pt>
                  <c:pt idx="27">
                    <c:v>April 28,2025</c:v>
                  </c:pt>
                  <c:pt idx="28">
                    <c:v>April 29,2025</c:v>
                  </c:pt>
                  <c:pt idx="29">
                    <c:v>April 30,2025</c:v>
                  </c:pt>
                  <c:pt idx="30">
                    <c:v>June 1,2025</c:v>
                  </c:pt>
                  <c:pt idx="31">
                    <c:v>June 3,2025</c:v>
                  </c:pt>
                  <c:pt idx="32">
                    <c:v>March 22,2025</c:v>
                  </c:pt>
                  <c:pt idx="33">
                    <c:v>March 23,2025</c:v>
                  </c:pt>
                  <c:pt idx="34">
                    <c:v>March 24,2025</c:v>
                  </c:pt>
                  <c:pt idx="35">
                    <c:v>March 25,2025</c:v>
                  </c:pt>
                  <c:pt idx="36">
                    <c:v>March 26,2025</c:v>
                  </c:pt>
                  <c:pt idx="37">
                    <c:v>March 27,2025</c:v>
                  </c:pt>
                  <c:pt idx="38">
                    <c:v>March 28,2025</c:v>
                  </c:pt>
                  <c:pt idx="39">
                    <c:v>March 29,2025</c:v>
                  </c:pt>
                  <c:pt idx="40">
                    <c:v>March 30,2025</c:v>
                  </c:pt>
                  <c:pt idx="41">
                    <c:v>March 31,2025</c:v>
                  </c:pt>
                  <c:pt idx="42">
                    <c:v>May 1,2025</c:v>
                  </c:pt>
                  <c:pt idx="43">
                    <c:v>May 17,2025</c:v>
                  </c:pt>
                  <c:pt idx="44">
                    <c:v>May 18,2025</c:v>
                  </c:pt>
                  <c:pt idx="45">
                    <c:v>May 19,2025</c:v>
                  </c:pt>
                  <c:pt idx="46">
                    <c:v>May 2,2025</c:v>
                  </c:pt>
                  <c:pt idx="47">
                    <c:v>May 20,2025</c:v>
                  </c:pt>
                  <c:pt idx="48">
                    <c:v>May 21,2025</c:v>
                  </c:pt>
                  <c:pt idx="49">
                    <c:v>May 22,2025</c:v>
                  </c:pt>
                  <c:pt idx="50">
                    <c:v>May 23,2025</c:v>
                  </c:pt>
                  <c:pt idx="51">
                    <c:v>May 24,2025</c:v>
                  </c:pt>
                  <c:pt idx="52">
                    <c:v>May 25,2025</c:v>
                  </c:pt>
                  <c:pt idx="53">
                    <c:v>May 26,2025</c:v>
                  </c:pt>
                  <c:pt idx="54">
                    <c:v>May 27,2025</c:v>
                  </c:pt>
                  <c:pt idx="55">
                    <c:v>May 29,2025</c:v>
                  </c:pt>
                  <c:pt idx="56">
                    <c:v>May 3,2025</c:v>
                  </c:pt>
                  <c:pt idx="57">
                    <c:v>May 30,2025</c:v>
                  </c:pt>
                  <c:pt idx="58">
                    <c:v>May 4,2025</c:v>
                  </c:pt>
                  <c:pt idx="59">
                    <c:v>May 5,2025</c:v>
                  </c:pt>
                  <c:pt idx="60">
                    <c:v>May 6,2025</c:v>
                  </c:pt>
                  <c:pt idx="61">
                    <c:v>May 7,2025</c:v>
                  </c:pt>
                </c:lvl>
              </c:multiLvlStrCache>
            </c:multiLvlStrRef>
          </c:cat>
          <c:val>
            <c:numRef>
              <c:f>Pivot!$C$240:$C$364</c:f>
              <c:numCache>
                <c:formatCode>General</c:formatCode>
                <c:ptCount val="62"/>
                <c:pt idx="0">
                  <c:v>171</c:v>
                </c:pt>
                <c:pt idx="1">
                  <c:v>169</c:v>
                </c:pt>
                <c:pt idx="2">
                  <c:v>200</c:v>
                </c:pt>
                <c:pt idx="3">
                  <c:v>203</c:v>
                </c:pt>
                <c:pt idx="4">
                  <c:v>205</c:v>
                </c:pt>
                <c:pt idx="5">
                  <c:v>152</c:v>
                </c:pt>
                <c:pt idx="6">
                  <c:v>221</c:v>
                </c:pt>
                <c:pt idx="7">
                  <c:v>238</c:v>
                </c:pt>
                <c:pt idx="8">
                  <c:v>217</c:v>
                </c:pt>
                <c:pt idx="9">
                  <c:v>163</c:v>
                </c:pt>
                <c:pt idx="10">
                  <c:v>103</c:v>
                </c:pt>
                <c:pt idx="11">
                  <c:v>180</c:v>
                </c:pt>
                <c:pt idx="12">
                  <c:v>378</c:v>
                </c:pt>
                <c:pt idx="13">
                  <c:v>166</c:v>
                </c:pt>
                <c:pt idx="15">
                  <c:v>188</c:v>
                </c:pt>
                <c:pt idx="16">
                  <c:v>162</c:v>
                </c:pt>
                <c:pt idx="17">
                  <c:v>95</c:v>
                </c:pt>
                <c:pt idx="18">
                  <c:v>203</c:v>
                </c:pt>
                <c:pt idx="19">
                  <c:v>333</c:v>
                </c:pt>
                <c:pt idx="20">
                  <c:v>198</c:v>
                </c:pt>
                <c:pt idx="21">
                  <c:v>159</c:v>
                </c:pt>
                <c:pt idx="22">
                  <c:v>143</c:v>
                </c:pt>
                <c:pt idx="23">
                  <c:v>205</c:v>
                </c:pt>
                <c:pt idx="24">
                  <c:v>154</c:v>
                </c:pt>
                <c:pt idx="26">
                  <c:v>377</c:v>
                </c:pt>
                <c:pt idx="27">
                  <c:v>209</c:v>
                </c:pt>
                <c:pt idx="28">
                  <c:v>204</c:v>
                </c:pt>
                <c:pt idx="29">
                  <c:v>190</c:v>
                </c:pt>
                <c:pt idx="30">
                  <c:v>203</c:v>
                </c:pt>
                <c:pt idx="31">
                  <c:v>190</c:v>
                </c:pt>
                <c:pt idx="32">
                  <c:v>174</c:v>
                </c:pt>
                <c:pt idx="33">
                  <c:v>441</c:v>
                </c:pt>
                <c:pt idx="34">
                  <c:v>209</c:v>
                </c:pt>
                <c:pt idx="35">
                  <c:v>243</c:v>
                </c:pt>
                <c:pt idx="36">
                  <c:v>151</c:v>
                </c:pt>
                <c:pt idx="37">
                  <c:v>190</c:v>
                </c:pt>
                <c:pt idx="38">
                  <c:v>196</c:v>
                </c:pt>
                <c:pt idx="39">
                  <c:v>196</c:v>
                </c:pt>
                <c:pt idx="40">
                  <c:v>182</c:v>
                </c:pt>
                <c:pt idx="41">
                  <c:v>116</c:v>
                </c:pt>
                <c:pt idx="42">
                  <c:v>217</c:v>
                </c:pt>
                <c:pt idx="44">
                  <c:v>199</c:v>
                </c:pt>
                <c:pt idx="45">
                  <c:v>205</c:v>
                </c:pt>
                <c:pt idx="46">
                  <c:v>224</c:v>
                </c:pt>
                <c:pt idx="47">
                  <c:v>187</c:v>
                </c:pt>
                <c:pt idx="48">
                  <c:v>180</c:v>
                </c:pt>
                <c:pt idx="49">
                  <c:v>235</c:v>
                </c:pt>
                <c:pt idx="50">
                  <c:v>231</c:v>
                </c:pt>
                <c:pt idx="51">
                  <c:v>206</c:v>
                </c:pt>
                <c:pt idx="53">
                  <c:v>184</c:v>
                </c:pt>
                <c:pt idx="54">
                  <c:v>227</c:v>
                </c:pt>
                <c:pt idx="55">
                  <c:v>101</c:v>
                </c:pt>
                <c:pt idx="56">
                  <c:v>213</c:v>
                </c:pt>
                <c:pt idx="58">
                  <c:v>236</c:v>
                </c:pt>
                <c:pt idx="59">
                  <c:v>133</c:v>
                </c:pt>
                <c:pt idx="60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F-4E5C-B45F-27F327D21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7877616"/>
        <c:axId val="1607876656"/>
      </c:lineChart>
      <c:catAx>
        <c:axId val="160787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rgbClr val="00206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07876656"/>
        <c:crosses val="autoZero"/>
        <c:auto val="1"/>
        <c:lblAlgn val="ctr"/>
        <c:lblOffset val="100"/>
        <c:noMultiLvlLbl val="0"/>
      </c:catAx>
      <c:valAx>
        <c:axId val="1607876656"/>
        <c:scaling>
          <c:orientation val="minMax"/>
        </c:scaling>
        <c:delete val="0"/>
        <c:axPos val="l"/>
        <c:majorGridlines/>
        <c:numFmt formatCode="#,##0," sourceLinked="0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rgbClr val="00206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0787761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1</xdr:row>
          <xdr:rowOff>76200</xdr:rowOff>
        </xdr:from>
        <xdr:to>
          <xdr:col>7</xdr:col>
          <xdr:colOff>701040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</xdr:row>
          <xdr:rowOff>99060</xdr:rowOff>
        </xdr:from>
        <xdr:to>
          <xdr:col>3</xdr:col>
          <xdr:colOff>487680</xdr:colOff>
          <xdr:row>2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GenerateCricketPivotTables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106680</xdr:colOff>
      <xdr:row>0</xdr:row>
      <xdr:rowOff>76200</xdr:rowOff>
    </xdr:from>
    <xdr:to>
      <xdr:col>22</xdr:col>
      <xdr:colOff>563880</xdr:colOff>
      <xdr:row>23</xdr:row>
      <xdr:rowOff>76200</xdr:rowOff>
    </xdr:to>
    <xdr:sp macro="" textlink="">
      <xdr:nvSpPr>
        <xdr:cNvPr id="7" name="ctop10">
          <a:extLst>
            <a:ext uri="{FF2B5EF4-FFF2-40B4-BE49-F238E27FC236}">
              <a16:creationId xmlns:a16="http://schemas.microsoft.com/office/drawing/2014/main" id="{4A8A95F3-389F-9446-9C98-7896027D8EE8}"/>
            </a:ext>
          </a:extLst>
        </xdr:cNvPr>
        <xdr:cNvSpPr/>
      </xdr:nvSpPr>
      <xdr:spPr>
        <a:xfrm>
          <a:off x="11894820" y="76200"/>
          <a:ext cx="2286000" cy="4846320"/>
        </a:xfrm>
        <a:prstGeom prst="roundRect">
          <a:avLst>
            <a:gd name="adj" fmla="val 3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14300" tIns="114300" rIns="114300" bIns="114300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403860</xdr:colOff>
      <xdr:row>2</xdr:row>
      <xdr:rowOff>167640</xdr:rowOff>
    </xdr:from>
    <xdr:to>
      <xdr:col>11</xdr:col>
      <xdr:colOff>342900</xdr:colOff>
      <xdr:row>13</xdr:row>
      <xdr:rowOff>76200</xdr:rowOff>
    </xdr:to>
    <xdr:sp macro="" textlink="">
      <xdr:nvSpPr>
        <xdr:cNvPr id="8" name="csalestrend">
          <a:extLst>
            <a:ext uri="{FF2B5EF4-FFF2-40B4-BE49-F238E27FC236}">
              <a16:creationId xmlns:a16="http://schemas.microsoft.com/office/drawing/2014/main" id="{52132A2A-687B-6572-A27D-63547D8A5A5D}"/>
            </a:ext>
          </a:extLst>
        </xdr:cNvPr>
        <xdr:cNvSpPr/>
      </xdr:nvSpPr>
      <xdr:spPr>
        <a:xfrm>
          <a:off x="1013460" y="1173480"/>
          <a:ext cx="6035040" cy="1920240"/>
        </a:xfrm>
        <a:prstGeom prst="roundRect">
          <a:avLst>
            <a:gd name="adj" fmla="val 3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14300" tIns="114300" rIns="114300" bIns="114300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213360</xdr:colOff>
      <xdr:row>3</xdr:row>
      <xdr:rowOff>53340</xdr:rowOff>
    </xdr:from>
    <xdr:to>
      <xdr:col>16</xdr:col>
      <xdr:colOff>152400</xdr:colOff>
      <xdr:row>13</xdr:row>
      <xdr:rowOff>144780</xdr:rowOff>
    </xdr:to>
    <xdr:sp macro="" textlink="">
      <xdr:nvSpPr>
        <xdr:cNvPr id="10" name="csalescity">
          <a:extLst>
            <a:ext uri="{FF2B5EF4-FFF2-40B4-BE49-F238E27FC236}">
              <a16:creationId xmlns:a16="http://schemas.microsoft.com/office/drawing/2014/main" id="{D4EB6D33-4BB9-2998-BC3D-ABA5BDAA1151}"/>
            </a:ext>
          </a:extLst>
        </xdr:cNvPr>
        <xdr:cNvSpPr/>
      </xdr:nvSpPr>
      <xdr:spPr>
        <a:xfrm>
          <a:off x="7528560" y="1242060"/>
          <a:ext cx="2377440" cy="1920240"/>
        </a:xfrm>
        <a:prstGeom prst="roundRect">
          <a:avLst>
            <a:gd name="adj" fmla="val 3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14300" tIns="114300" rIns="114300" bIns="114300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220980</xdr:colOff>
      <xdr:row>13</xdr:row>
      <xdr:rowOff>129540</xdr:rowOff>
    </xdr:from>
    <xdr:to>
      <xdr:col>7</xdr:col>
      <xdr:colOff>312420</xdr:colOff>
      <xdr:row>24</xdr:row>
      <xdr:rowOff>38100</xdr:rowOff>
    </xdr:to>
    <xdr:sp macro="" textlink="">
      <xdr:nvSpPr>
        <xdr:cNvPr id="11" name="csalesservice">
          <a:extLst>
            <a:ext uri="{FF2B5EF4-FFF2-40B4-BE49-F238E27FC236}">
              <a16:creationId xmlns:a16="http://schemas.microsoft.com/office/drawing/2014/main" id="{5A431FA8-2472-EC45-79B3-09783E4F67C8}"/>
            </a:ext>
          </a:extLst>
        </xdr:cNvPr>
        <xdr:cNvSpPr/>
      </xdr:nvSpPr>
      <xdr:spPr>
        <a:xfrm>
          <a:off x="830580" y="3147060"/>
          <a:ext cx="3749040" cy="1920240"/>
        </a:xfrm>
        <a:prstGeom prst="roundRect">
          <a:avLst>
            <a:gd name="adj" fmla="val 3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14300" tIns="114300" rIns="114300" bIns="114300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396240</xdr:colOff>
      <xdr:row>13</xdr:row>
      <xdr:rowOff>83820</xdr:rowOff>
    </xdr:from>
    <xdr:to>
      <xdr:col>11</xdr:col>
      <xdr:colOff>243840</xdr:colOff>
      <xdr:row>23</xdr:row>
      <xdr:rowOff>175260</xdr:rowOff>
    </xdr:to>
    <xdr:sp macro="" textlink="">
      <xdr:nvSpPr>
        <xdr:cNvPr id="12" name="cdeptmargin">
          <a:extLst>
            <a:ext uri="{FF2B5EF4-FFF2-40B4-BE49-F238E27FC236}">
              <a16:creationId xmlns:a16="http://schemas.microsoft.com/office/drawing/2014/main" id="{01E886AF-7D7F-1439-3C98-5220C11BB142}"/>
            </a:ext>
          </a:extLst>
        </xdr:cNvPr>
        <xdr:cNvSpPr/>
      </xdr:nvSpPr>
      <xdr:spPr>
        <a:xfrm>
          <a:off x="4663440" y="3101340"/>
          <a:ext cx="2286000" cy="1920240"/>
        </a:xfrm>
        <a:prstGeom prst="roundRect">
          <a:avLst>
            <a:gd name="adj" fmla="val 3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14300" tIns="114300" rIns="114300" bIns="114300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304800</xdr:colOff>
      <xdr:row>12</xdr:row>
      <xdr:rowOff>129540</xdr:rowOff>
    </xdr:from>
    <xdr:to>
      <xdr:col>19</xdr:col>
      <xdr:colOff>0</xdr:colOff>
      <xdr:row>23</xdr:row>
      <xdr:rowOff>38100</xdr:rowOff>
    </xdr:to>
    <xdr:sp macro="" textlink="">
      <xdr:nvSpPr>
        <xdr:cNvPr id="13" name="cnewrepeat">
          <a:extLst>
            <a:ext uri="{FF2B5EF4-FFF2-40B4-BE49-F238E27FC236}">
              <a16:creationId xmlns:a16="http://schemas.microsoft.com/office/drawing/2014/main" id="{72CA9ED3-747F-A2B9-CD9C-0828A3FF8E4E}"/>
            </a:ext>
          </a:extLst>
        </xdr:cNvPr>
        <xdr:cNvSpPr/>
      </xdr:nvSpPr>
      <xdr:spPr>
        <a:xfrm>
          <a:off x="7010400" y="2964180"/>
          <a:ext cx="4572000" cy="1920240"/>
        </a:xfrm>
        <a:prstGeom prst="roundRect">
          <a:avLst>
            <a:gd name="adj" fmla="val 3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14300" tIns="114300" rIns="114300" bIns="114300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472440</xdr:colOff>
      <xdr:row>12</xdr:row>
      <xdr:rowOff>91440</xdr:rowOff>
    </xdr:from>
    <xdr:to>
      <xdr:col>18</xdr:col>
      <xdr:colOff>449580</xdr:colOff>
      <xdr:row>23</xdr:row>
      <xdr:rowOff>45720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F47B7A7-B438-F775-FBD7-4570FEC4AA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365760</xdr:colOff>
      <xdr:row>13</xdr:row>
      <xdr:rowOff>137160</xdr:rowOff>
    </xdr:from>
    <xdr:to>
      <xdr:col>7</xdr:col>
      <xdr:colOff>228600</xdr:colOff>
      <xdr:row>24</xdr:row>
      <xdr:rowOff>7620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C2BD666-494E-4590-C757-DD2F97962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381000</xdr:colOff>
      <xdr:row>2</xdr:row>
      <xdr:rowOff>160020</xdr:rowOff>
    </xdr:from>
    <xdr:to>
      <xdr:col>19</xdr:col>
      <xdr:colOff>68580</xdr:colOff>
      <xdr:row>12</xdr:row>
      <xdr:rowOff>99060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E9D5EC6-4D7B-66A4-75E1-A5DA418677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373380</xdr:colOff>
      <xdr:row>13</xdr:row>
      <xdr:rowOff>91440</xdr:rowOff>
    </xdr:from>
    <xdr:to>
      <xdr:col>11</xdr:col>
      <xdr:colOff>243840</xdr:colOff>
      <xdr:row>24</xdr:row>
      <xdr:rowOff>38100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E1CDA416-4756-D002-3103-8B48E0288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480060</xdr:colOff>
      <xdr:row>3</xdr:row>
      <xdr:rowOff>76200</xdr:rowOff>
    </xdr:from>
    <xdr:to>
      <xdr:col>11</xdr:col>
      <xdr:colOff>243840</xdr:colOff>
      <xdr:row>12</xdr:row>
      <xdr:rowOff>152400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1197C692-0995-7048-97C1-ECD0ECD75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114300</xdr:colOff>
      <xdr:row>0</xdr:row>
      <xdr:rowOff>83820</xdr:rowOff>
    </xdr:from>
    <xdr:to>
      <xdr:col>22</xdr:col>
      <xdr:colOff>525780</xdr:colOff>
      <xdr:row>23</xdr:row>
      <xdr:rowOff>68580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474F928-B7DB-367F-9572-6397CF650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yooj s" refreshedDate="45817.478853703702" createdVersion="3" refreshedVersion="8" minRefreshableVersion="3" recordCount="74" xr:uid="{88A9ADE0-487A-48BD-A138-0AAC8EE5A2A6}">
  <cacheSource type="worksheet">
    <worksheetSource ref="A1:X75" sheet="data"/>
  </cacheSource>
  <cacheFields count="24">
    <cacheField name="match_id" numFmtId="0">
      <sharedItems containsSemiMixedTypes="0" containsString="0" containsNumber="1" containsInteger="1" minValue="1" maxValue="74"/>
    </cacheField>
    <cacheField name="MacthMonth" numFmtId="0">
      <sharedItems count="62">
        <s v="March 22,2025"/>
        <s v="March 23,2025"/>
        <s v="March 24,2025"/>
        <s v="March 25,2025"/>
        <s v="March 26,2025"/>
        <s v="March 27,2025"/>
        <s v="March 28,2025"/>
        <s v="March 29,2025"/>
        <s v="March 30,2025"/>
        <s v="March 31,2025"/>
        <s v="April 01,2025"/>
        <s v="April 02,2025"/>
        <s v="April 03,2025"/>
        <s v="April 04,2025"/>
        <s v="April 05,2025"/>
        <s v="April 06,2025"/>
        <s v="April 07,2025"/>
        <s v="April 08,2025"/>
        <s v="April 09,2025"/>
        <s v="April 10,2025"/>
        <s v="April 11,2025"/>
        <s v="April 12,2025"/>
        <s v="April 13,2025"/>
        <s v="April 14,2025"/>
        <s v="April 15,2025"/>
        <s v="April 16,2025"/>
        <s v="April 17,2025"/>
        <s v="April 18,2025"/>
        <s v="April 19,2025"/>
        <s v="April 20,2025"/>
        <s v="April 21,2025"/>
        <s v="April 22,2025"/>
        <s v="April 23,2025"/>
        <s v="April 24,2025"/>
        <s v="April 25,2025"/>
        <s v="April 26,2025"/>
        <s v="April 27,2025"/>
        <s v="April 28,2025"/>
        <s v="April 29,2025"/>
        <s v="April 30,2025"/>
        <s v="May 1,2025"/>
        <s v="May 2,2025"/>
        <s v="May 3,2025"/>
        <s v="May 4,2025"/>
        <s v="May 5,2025"/>
        <s v="May 6,2025"/>
        <s v="May 7,2025"/>
        <s v="May 17,2025"/>
        <s v="May 18,2025"/>
        <s v="May 19,2025"/>
        <s v="May 20,2025"/>
        <s v="May 21,2025"/>
        <s v="May 22,2025"/>
        <s v="May 23,2025"/>
        <s v="May 24,2025"/>
        <s v="May 25,2025"/>
        <s v="May 26,2025"/>
        <s v="May 27,2025"/>
        <s v="May 29,2025"/>
        <s v="May 30,2025"/>
        <s v="June 1,2025"/>
        <s v="June 3,2025"/>
      </sharedItems>
    </cacheField>
    <cacheField name="MatchYear" numFmtId="0">
      <sharedItems count="62">
        <s v="March 22,2025"/>
        <s v="March 23,2025"/>
        <s v="March 24,2025"/>
        <s v="March 25,2025"/>
        <s v="March 26,2025"/>
        <s v="March 27,2025"/>
        <s v="March 28,2025"/>
        <s v="March 29,2025"/>
        <s v="March 30,2025"/>
        <s v="March 31,2025"/>
        <s v="April 01,2025"/>
        <s v="April 02,2025"/>
        <s v="April 03,2025"/>
        <s v="April 04,2025"/>
        <s v="April 05,2025"/>
        <s v="April 06,2025"/>
        <s v="April 07,2025"/>
        <s v="April 08,2025"/>
        <s v="April 09,2025"/>
        <s v="April 10,2025"/>
        <s v="April 11,2025"/>
        <s v="April 12,2025"/>
        <s v="April 13,2025"/>
        <s v="April 14,2025"/>
        <s v="April 15,2025"/>
        <s v="April 16,2025"/>
        <s v="April 17,2025"/>
        <s v="April 18,2025"/>
        <s v="April 19,2025"/>
        <s v="April 20,2025"/>
        <s v="April 21,2025"/>
        <s v="April 22,2025"/>
        <s v="April 23,2025"/>
        <s v="April 24,2025"/>
        <s v="April 25,2025"/>
        <s v="April 26,2025"/>
        <s v="April 27,2025"/>
        <s v="April 28,2025"/>
        <s v="April 29,2025"/>
        <s v="April 30,2025"/>
        <s v="May 1,2025"/>
        <s v="May 2,2025"/>
        <s v="May 3,2025"/>
        <s v="May 4,2025"/>
        <s v="May 5,2025"/>
        <s v="May 6,2025"/>
        <s v="May 7,2025"/>
        <s v="May 17,2025"/>
        <s v="May 18,2025"/>
        <s v="May 19,2025"/>
        <s v="May 20,2025"/>
        <s v="May 21,2025"/>
        <s v="May 22,2025"/>
        <s v="May 23,2025"/>
        <s v="May 24,2025"/>
        <s v="May 25,2025"/>
        <s v="May 26,2025"/>
        <s v="May 27,2025"/>
        <s v="May 29,2025"/>
        <s v="May 30,2025"/>
        <s v="June 1,2025"/>
        <s v="June 3,2025"/>
      </sharedItems>
    </cacheField>
    <cacheField name="date" numFmtId="0">
      <sharedItems/>
    </cacheField>
    <cacheField name="venue" numFmtId="0">
      <sharedItems count="13">
        <s v="Eden Gardens, Kolkata"/>
        <s v="Rajiv Gandhi International Stadium, Hyderabad"/>
        <s v="MA Chidambaram Stadium, Chennai"/>
        <s v="ACA-VDCA Cricket Stadium, Vishakhapatnam"/>
        <s v="Narendra Modi Stadium, Ahmedabad"/>
        <s v="Barsapara Stadium, Guwahati"/>
        <s v="Wankhede Stadium, Mumbai"/>
        <s v="Ekana Cricket Stadium, Lucknow"/>
        <s v="M. Chinnaswamy Stadium, Bangalore"/>
        <s v="New PCA Cricket Stadium, Mullanpur"/>
        <s v="Sawai Mansingh Stadium, Jaipur"/>
        <s v="Arun Jaitley Stadium, Delhi"/>
        <s v="HPCA Stadium, Dharamshala"/>
      </sharedItems>
    </cacheField>
    <cacheField name="team1" numFmtId="0">
      <sharedItems/>
    </cacheField>
    <cacheField name="team2" numFmtId="0">
      <sharedItems/>
    </cacheField>
    <cacheField name="stage" numFmtId="0">
      <sharedItems/>
    </cacheField>
    <cacheField name="toss_winner" numFmtId="0">
      <sharedItems containsBlank="1"/>
    </cacheField>
    <cacheField name="toss_decision" numFmtId="0">
      <sharedItems count="2">
        <s v="Bowl"/>
        <s v="Bat"/>
      </sharedItems>
    </cacheField>
    <cacheField name="first_ings_score" numFmtId="0">
      <sharedItems containsString="0" containsBlank="1" containsNumber="1" containsInteger="1" minValue="95" maxValue="286"/>
    </cacheField>
    <cacheField name="first_ings_wkts" numFmtId="0">
      <sharedItems containsString="0" containsBlank="1" containsNumber="1" containsInteger="1" minValue="2" maxValue="10"/>
    </cacheField>
    <cacheField name="second_ings_score" numFmtId="0">
      <sharedItems containsString="0" containsBlank="1" containsNumber="1" containsInteger="1" minValue="7" maxValue="247"/>
    </cacheField>
    <cacheField name="second_ings_wkts" numFmtId="0">
      <sharedItems containsString="0" containsBlank="1" containsNumber="1" containsInteger="1" minValue="0" maxValue="10"/>
    </cacheField>
    <cacheField name="match_result" numFmtId="0">
      <sharedItems/>
    </cacheField>
    <cacheField name="match_winner" numFmtId="0">
      <sharedItems containsBlank="1" count="11">
        <s v="RCB"/>
        <s v="SRH"/>
        <s v="CSK"/>
        <s v="DC"/>
        <s v="PBKS"/>
        <s v="KKR"/>
        <s v="LSG"/>
        <s v="GT"/>
        <s v="RR"/>
        <s v="MI"/>
        <m/>
      </sharedItems>
    </cacheField>
    <cacheField name="wb_runs" numFmtId="0">
      <sharedItems containsBlank="1" containsMixedTypes="1" containsNumber="1" containsInteger="1" minValue="1" maxValue="110"/>
    </cacheField>
    <cacheField name="wb_wickets" numFmtId="0">
      <sharedItems containsBlank="1" containsMixedTypes="1" containsNumber="1" containsInteger="1" minValue="1" maxValue="10"/>
    </cacheField>
    <cacheField name="balls_left" numFmtId="0">
      <sharedItems containsString="0" containsBlank="1" containsNumber="1" containsInteger="1" minValue="0" maxValue="114"/>
    </cacheField>
    <cacheField name="player_of_the_match" numFmtId="0">
      <sharedItems containsBlank="1" count="54">
        <s v="Krunal Pandya"/>
        <s v="Ishan Kishan"/>
        <s v="Noor Ahmad"/>
        <s v="Ashutosh Sharma"/>
        <s v="Shreyas Iyer"/>
        <s v="Quinton de Kock"/>
        <s v="Shardul Thakur"/>
        <s v="Rajat Patidar"/>
        <s v="Prasidh Krishna"/>
        <s v="Mitchell Starc"/>
        <s v="Nitish Rana"/>
        <s v="Ashwani Kumar"/>
        <s v="Prabhsimran Singh"/>
        <s v="Mohammed Siraj"/>
        <s v="Vaibhav Arora"/>
        <s v="Digvesh Singh"/>
        <s v="KL Rahul"/>
        <s v="Jofra Archer"/>
        <s v="Nicholas Pooran"/>
        <s v="Priyansh Arya"/>
        <s v="Sai Sudarshan"/>
        <s v="Sunil Narine"/>
        <s v="Aiden Markram"/>
        <s v="Abhishek Sharma"/>
        <s v="Phil Salt"/>
        <s v="Karn Sharma"/>
        <s v="MS Dhoni"/>
        <s v="Yuzvendra Chahal"/>
        <s v="Will Jacks"/>
        <s v="Tim David"/>
        <s v="Jos Buttler"/>
        <s v="Avesh Khan"/>
        <s v="Virat Kohli"/>
        <s v="Rohit Sharma"/>
        <s v="Shubman Gill"/>
        <s v="Mukesh Kumar"/>
        <s v="Trent Boult"/>
        <s v="Josh Hazlewood"/>
        <s v="Harshal Patel"/>
        <m/>
        <s v="Vaibhav Suryavanshi"/>
        <s v="Ryan Rickelton"/>
        <s v="Romario Shepherd"/>
        <s v="Andre Russell"/>
        <s v="Harpreet Brar"/>
        <s v="Akash Madhwal"/>
        <s v="Suryakumar Yadav"/>
        <s v="Mitchell Marsh"/>
        <s v="Sameer Rizvi"/>
        <s v="Dewald Brevis"/>
        <s v="Heinrich Klassen"/>
        <s v="Josh Inglis"/>
        <s v="Jitesh Sharma"/>
        <s v="Suyash Sharma"/>
      </sharedItems>
    </cacheField>
    <cacheField name="top_scorer" numFmtId="0">
      <sharedItems containsBlank="1"/>
    </cacheField>
    <cacheField name="highscore" numFmtId="0">
      <sharedItems containsString="0" containsBlank="1" containsNumber="1" containsInteger="1" minValue="37" maxValue="141"/>
    </cacheField>
    <cacheField name="MatchYear2" numFmtId="0">
      <sharedItems containsSemiMixedTypes="0" containsString="0" containsNumber="1" containsInteger="1" minValue="1899" maxValue="1900"/>
    </cacheField>
    <cacheField name="MatchMon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n v="1"/>
    <x v="0"/>
    <x v="0"/>
    <s v="March 22,2025"/>
    <x v="0"/>
    <s v="KKR"/>
    <s v="RCB"/>
    <s v="League"/>
    <s v="RCB"/>
    <x v="0"/>
    <n v="174"/>
    <n v="8"/>
    <n v="177"/>
    <n v="3"/>
    <s v="completed"/>
    <x v="0"/>
    <m/>
    <n v="7"/>
    <n v="22"/>
    <x v="0"/>
    <s v="Virat Kohli"/>
    <n v="59"/>
    <n v="1899"/>
    <s v="December"/>
  </r>
  <r>
    <n v="2"/>
    <x v="1"/>
    <x v="1"/>
    <s v="March 23,2025"/>
    <x v="1"/>
    <s v="SRH"/>
    <s v="RR"/>
    <s v="League"/>
    <s v="RR"/>
    <x v="0"/>
    <n v="286"/>
    <n v="6"/>
    <n v="242"/>
    <n v="6"/>
    <s v="completed"/>
    <x v="1"/>
    <n v="44"/>
    <m/>
    <n v="0"/>
    <x v="1"/>
    <s v="Ishan Kishan"/>
    <n v="106"/>
    <n v="1900"/>
    <s v="January"/>
  </r>
  <r>
    <n v="3"/>
    <x v="1"/>
    <x v="1"/>
    <s v="March 23,2025"/>
    <x v="2"/>
    <s v="CSK"/>
    <s v="MI"/>
    <s v="League"/>
    <s v="CSK"/>
    <x v="0"/>
    <n v="155"/>
    <n v="9"/>
    <n v="158"/>
    <n v="6"/>
    <s v="completed"/>
    <x v="2"/>
    <m/>
    <n v="4"/>
    <n v="5"/>
    <x v="2"/>
    <s v="Rachin Ravindra"/>
    <n v="65"/>
    <n v="1900"/>
    <s v="January"/>
  </r>
  <r>
    <n v="4"/>
    <x v="2"/>
    <x v="2"/>
    <s v="March 24,2025"/>
    <x v="3"/>
    <s v="DC"/>
    <s v="LSG"/>
    <s v="League"/>
    <s v="DC"/>
    <x v="0"/>
    <n v="209"/>
    <n v="8"/>
    <n v="211"/>
    <n v="9"/>
    <s v="completed"/>
    <x v="3"/>
    <m/>
    <n v="1"/>
    <n v="3"/>
    <x v="3"/>
    <s v="Nicholas Pooran"/>
    <n v="75"/>
    <n v="1900"/>
    <s v="January"/>
  </r>
  <r>
    <n v="5"/>
    <x v="3"/>
    <x v="3"/>
    <s v="March 25,2025"/>
    <x v="4"/>
    <s v="GT"/>
    <s v="PBKS"/>
    <s v="League"/>
    <s v="GT"/>
    <x v="0"/>
    <n v="243"/>
    <n v="5"/>
    <n v="232"/>
    <n v="5"/>
    <s v="completed"/>
    <x v="4"/>
    <n v="11"/>
    <m/>
    <n v="0"/>
    <x v="4"/>
    <s v="Shreyas Iyer"/>
    <n v="97"/>
    <n v="1900"/>
    <s v="January"/>
  </r>
  <r>
    <n v="6"/>
    <x v="4"/>
    <x v="4"/>
    <s v="March 26,2025"/>
    <x v="5"/>
    <s v="RR"/>
    <s v="KKR"/>
    <s v="League"/>
    <s v="KKR"/>
    <x v="0"/>
    <n v="151"/>
    <n v="9"/>
    <n v="153"/>
    <n v="2"/>
    <s v="completed"/>
    <x v="5"/>
    <m/>
    <n v="8"/>
    <n v="15"/>
    <x v="5"/>
    <s v="Quinton de Kock"/>
    <n v="97"/>
    <n v="1900"/>
    <s v="January"/>
  </r>
  <r>
    <n v="7"/>
    <x v="5"/>
    <x v="5"/>
    <s v="March 27,2025"/>
    <x v="1"/>
    <s v="SRH"/>
    <s v="LSG"/>
    <s v="League"/>
    <s v="LSG"/>
    <x v="0"/>
    <n v="190"/>
    <n v="9"/>
    <n v="193"/>
    <n v="5"/>
    <s v="completed"/>
    <x v="6"/>
    <m/>
    <n v="5"/>
    <n v="23"/>
    <x v="6"/>
    <s v="Nicholas Pooran"/>
    <n v="70"/>
    <n v="1900"/>
    <s v="January"/>
  </r>
  <r>
    <n v="8"/>
    <x v="6"/>
    <x v="6"/>
    <s v="March 28,2025"/>
    <x v="2"/>
    <s v="CSK"/>
    <s v="RCB"/>
    <s v="League"/>
    <s v="CSK"/>
    <x v="0"/>
    <n v="196"/>
    <n v="7"/>
    <n v="146"/>
    <n v="8"/>
    <s v="completed"/>
    <x v="0"/>
    <n v="50"/>
    <m/>
    <n v="0"/>
    <x v="7"/>
    <s v="Rajat Patidar"/>
    <n v="51"/>
    <n v="1900"/>
    <s v="January"/>
  </r>
  <r>
    <n v="9"/>
    <x v="7"/>
    <x v="7"/>
    <s v="March 29,2025"/>
    <x v="4"/>
    <s v="GT"/>
    <s v="MI"/>
    <s v="League"/>
    <s v="MI"/>
    <x v="0"/>
    <n v="196"/>
    <n v="8"/>
    <n v="160"/>
    <n v="6"/>
    <s v="completed"/>
    <x v="7"/>
    <n v="36"/>
    <m/>
    <n v="0"/>
    <x v="8"/>
    <s v="Sai Sudarshan"/>
    <n v="63"/>
    <n v="1900"/>
    <s v="January"/>
  </r>
  <r>
    <n v="10"/>
    <x v="8"/>
    <x v="8"/>
    <s v="March 30,2025"/>
    <x v="3"/>
    <s v="DC"/>
    <s v="SRH"/>
    <s v="League"/>
    <s v="SRH"/>
    <x v="1"/>
    <n v="163"/>
    <n v="10"/>
    <n v="166"/>
    <n v="3"/>
    <s v="completed"/>
    <x v="3"/>
    <m/>
    <n v="7"/>
    <n v="24"/>
    <x v="9"/>
    <s v="Aniket Verma"/>
    <n v="74"/>
    <n v="1900"/>
    <s v="January"/>
  </r>
  <r>
    <n v="11"/>
    <x v="8"/>
    <x v="8"/>
    <s v="March 30,2025"/>
    <x v="5"/>
    <s v="RR"/>
    <s v="CSK"/>
    <s v="League"/>
    <s v="CSK"/>
    <x v="0"/>
    <n v="182"/>
    <n v="9"/>
    <n v="176"/>
    <n v="6"/>
    <s v="completed"/>
    <x v="8"/>
    <n v="6"/>
    <m/>
    <n v="0"/>
    <x v="10"/>
    <s v="Nitish Rana"/>
    <n v="81"/>
    <n v="1900"/>
    <s v="January"/>
  </r>
  <r>
    <n v="12"/>
    <x v="9"/>
    <x v="9"/>
    <s v="March 31,2025"/>
    <x v="6"/>
    <s v="MI"/>
    <s v="KKR"/>
    <s v="League"/>
    <s v="MI"/>
    <x v="0"/>
    <n v="116"/>
    <n v="10"/>
    <n v="121"/>
    <n v="2"/>
    <s v="completed"/>
    <x v="9"/>
    <m/>
    <n v="8"/>
    <n v="43"/>
    <x v="11"/>
    <s v="Ryan Rickelton"/>
    <n v="62"/>
    <n v="1900"/>
    <s v="January"/>
  </r>
  <r>
    <n v="13"/>
    <x v="10"/>
    <x v="10"/>
    <s v="April 01,2025"/>
    <x v="7"/>
    <s v="LSG"/>
    <s v="PBKS"/>
    <s v="League"/>
    <s v="PBKS"/>
    <x v="0"/>
    <n v="171"/>
    <n v="7"/>
    <n v="177"/>
    <n v="2"/>
    <s v="completed"/>
    <x v="4"/>
    <m/>
    <n v="8"/>
    <n v="22"/>
    <x v="12"/>
    <s v="Prabhsimran Singh"/>
    <n v="69"/>
    <n v="1900"/>
    <s v="January"/>
  </r>
  <r>
    <n v="14"/>
    <x v="11"/>
    <x v="11"/>
    <s v="April 02,2025"/>
    <x v="8"/>
    <s v="RCB"/>
    <s v="GT"/>
    <s v="League"/>
    <s v="GT"/>
    <x v="0"/>
    <n v="169"/>
    <n v="8"/>
    <n v="170"/>
    <n v="2"/>
    <s v="completed"/>
    <x v="7"/>
    <m/>
    <n v="8"/>
    <n v="13"/>
    <x v="13"/>
    <s v="Jos Buttler"/>
    <n v="73"/>
    <n v="1900"/>
    <s v="January"/>
  </r>
  <r>
    <n v="15"/>
    <x v="12"/>
    <x v="12"/>
    <s v="April 03,2025"/>
    <x v="0"/>
    <s v="KKR"/>
    <s v="SRH"/>
    <s v="League"/>
    <s v="SRH"/>
    <x v="0"/>
    <n v="200"/>
    <n v="6"/>
    <n v="120"/>
    <n v="10"/>
    <s v="completed"/>
    <x v="5"/>
    <n v="80"/>
    <m/>
    <n v="20"/>
    <x v="14"/>
    <s v="Venkatesh Iyer"/>
    <n v="60"/>
    <n v="1900"/>
    <s v="January"/>
  </r>
  <r>
    <n v="16"/>
    <x v="13"/>
    <x v="13"/>
    <s v="April 04,2025"/>
    <x v="7"/>
    <s v="LSG"/>
    <s v="MI"/>
    <s v="League"/>
    <s v="MI"/>
    <x v="0"/>
    <n v="203"/>
    <n v="8"/>
    <n v="191"/>
    <n v="5"/>
    <s v="completed"/>
    <x v="6"/>
    <n v="12"/>
    <m/>
    <n v="0"/>
    <x v="15"/>
    <s v="Suryakumar Yadav"/>
    <n v="67"/>
    <n v="1900"/>
    <s v="January"/>
  </r>
  <r>
    <n v="17"/>
    <x v="14"/>
    <x v="14"/>
    <s v="April 05,2025"/>
    <x v="2"/>
    <s v="CSK"/>
    <s v="DC"/>
    <s v="League"/>
    <s v="DC"/>
    <x v="1"/>
    <n v="183"/>
    <n v="6"/>
    <n v="158"/>
    <n v="5"/>
    <s v="completed"/>
    <x v="3"/>
    <n v="25"/>
    <m/>
    <n v="0"/>
    <x v="16"/>
    <s v="KL Rahul"/>
    <n v="77"/>
    <n v="1900"/>
    <s v="January"/>
  </r>
  <r>
    <n v="18"/>
    <x v="14"/>
    <x v="14"/>
    <s v="April 05,2025"/>
    <x v="9"/>
    <s v="PBKS"/>
    <s v="RR"/>
    <s v="League"/>
    <s v="PBKS"/>
    <x v="0"/>
    <n v="205"/>
    <n v="4"/>
    <n v="155"/>
    <n v="9"/>
    <s v="completed"/>
    <x v="8"/>
    <n v="50"/>
    <m/>
    <n v="0"/>
    <x v="17"/>
    <s v="Yashasvi Jaiswal"/>
    <n v="67"/>
    <n v="1900"/>
    <s v="January"/>
  </r>
  <r>
    <n v="19"/>
    <x v="15"/>
    <x v="15"/>
    <s v="April 06,2025"/>
    <x v="1"/>
    <s v="SRH"/>
    <s v="GT"/>
    <s v="League"/>
    <s v="GT"/>
    <x v="0"/>
    <n v="152"/>
    <n v="8"/>
    <n v="153"/>
    <n v="3"/>
    <s v="completed"/>
    <x v="7"/>
    <m/>
    <n v="7"/>
    <n v="20"/>
    <x v="13"/>
    <s v="Shubman Gill"/>
    <n v="61"/>
    <n v="1900"/>
    <s v="January"/>
  </r>
  <r>
    <n v="20"/>
    <x v="16"/>
    <x v="16"/>
    <s v="April 07,2025"/>
    <x v="6"/>
    <s v="MI"/>
    <s v="RCB"/>
    <s v="League"/>
    <s v="MI"/>
    <x v="0"/>
    <n v="221"/>
    <n v="5"/>
    <n v="209"/>
    <n v="9"/>
    <s v="completed"/>
    <x v="0"/>
    <n v="12"/>
    <m/>
    <n v="0"/>
    <x v="7"/>
    <s v="Virat Kohli"/>
    <n v="67"/>
    <n v="1900"/>
    <s v="January"/>
  </r>
  <r>
    <n v="21"/>
    <x v="17"/>
    <x v="17"/>
    <s v="April 08,2025"/>
    <x v="0"/>
    <s v="KKR"/>
    <s v="LSG"/>
    <s v="League"/>
    <s v="KKR"/>
    <x v="0"/>
    <n v="238"/>
    <n v="3"/>
    <n v="234"/>
    <n v="7"/>
    <s v="completed"/>
    <x v="6"/>
    <n v="4"/>
    <m/>
    <n v="0"/>
    <x v="18"/>
    <s v="Nicholas Pooran"/>
    <n v="87"/>
    <n v="1900"/>
    <s v="January"/>
  </r>
  <r>
    <n v="22"/>
    <x v="17"/>
    <x v="17"/>
    <s v="April 08,2025"/>
    <x v="9"/>
    <s v="PBKS"/>
    <s v="CSK"/>
    <s v="League"/>
    <s v="PBKS"/>
    <x v="1"/>
    <n v="219"/>
    <n v="6"/>
    <n v="201"/>
    <n v="5"/>
    <s v="completed"/>
    <x v="4"/>
    <n v="18"/>
    <m/>
    <n v="0"/>
    <x v="19"/>
    <s v="Priyansh Arya"/>
    <n v="103"/>
    <n v="1900"/>
    <s v="January"/>
  </r>
  <r>
    <n v="23"/>
    <x v="18"/>
    <x v="18"/>
    <s v="April 09,2025"/>
    <x v="4"/>
    <s v="GT"/>
    <s v="RR"/>
    <s v="League"/>
    <s v="RR"/>
    <x v="0"/>
    <n v="217"/>
    <n v="6"/>
    <n v="159"/>
    <n v="10"/>
    <s v="completed"/>
    <x v="7"/>
    <n v="58"/>
    <m/>
    <n v="4"/>
    <x v="20"/>
    <s v="Sai Sudarshan"/>
    <n v="82"/>
    <n v="1900"/>
    <s v="January"/>
  </r>
  <r>
    <n v="24"/>
    <x v="19"/>
    <x v="19"/>
    <s v="April 10,2025"/>
    <x v="8"/>
    <s v="RCB"/>
    <s v="DC"/>
    <s v="League"/>
    <s v="DC"/>
    <x v="0"/>
    <n v="163"/>
    <n v="7"/>
    <n v="169"/>
    <n v="4"/>
    <s v="completed"/>
    <x v="3"/>
    <m/>
    <n v="6"/>
    <n v="13"/>
    <x v="16"/>
    <s v="KL Rahul"/>
    <n v="93"/>
    <n v="1900"/>
    <s v="January"/>
  </r>
  <r>
    <n v="25"/>
    <x v="20"/>
    <x v="20"/>
    <s v="April 11,2025"/>
    <x v="2"/>
    <s v="CSK"/>
    <s v="KKR"/>
    <s v="League"/>
    <s v="KKR"/>
    <x v="0"/>
    <n v="103"/>
    <n v="9"/>
    <n v="107"/>
    <n v="2"/>
    <s v="completed"/>
    <x v="5"/>
    <m/>
    <n v="8"/>
    <n v="59"/>
    <x v="21"/>
    <s v="Sunil Narine"/>
    <n v="44"/>
    <n v="1900"/>
    <s v="January"/>
  </r>
  <r>
    <n v="26"/>
    <x v="21"/>
    <x v="21"/>
    <s v="April 12,2025"/>
    <x v="7"/>
    <s v="LSG"/>
    <s v="GT"/>
    <s v="League"/>
    <s v="LSG"/>
    <x v="0"/>
    <n v="180"/>
    <n v="6"/>
    <n v="186"/>
    <n v="4"/>
    <s v="completed"/>
    <x v="6"/>
    <m/>
    <n v="6"/>
    <n v="3"/>
    <x v="22"/>
    <s v="Nicholas Pooran"/>
    <n v="61"/>
    <n v="1900"/>
    <s v="January"/>
  </r>
  <r>
    <n v="27"/>
    <x v="21"/>
    <x v="21"/>
    <s v="April 12,2025"/>
    <x v="1"/>
    <s v="SRH"/>
    <s v="PBKS"/>
    <s v="League"/>
    <s v="PBKS"/>
    <x v="1"/>
    <n v="245"/>
    <n v="6"/>
    <n v="247"/>
    <n v="2"/>
    <s v="completed"/>
    <x v="1"/>
    <m/>
    <n v="8"/>
    <n v="9"/>
    <x v="23"/>
    <s v="Abhishek Sharma"/>
    <n v="141"/>
    <n v="1900"/>
    <s v="January"/>
  </r>
  <r>
    <n v="28"/>
    <x v="22"/>
    <x v="22"/>
    <s v="April 13,2025"/>
    <x v="10"/>
    <s v="RR"/>
    <s v="RCB"/>
    <s v="League"/>
    <s v="RCB"/>
    <x v="0"/>
    <n v="173"/>
    <n v="4"/>
    <n v="175"/>
    <n v="1"/>
    <s v="completed"/>
    <x v="0"/>
    <m/>
    <n v="9"/>
    <n v="15"/>
    <x v="24"/>
    <s v="Yashasvi Jaiswal"/>
    <n v="75"/>
    <n v="1900"/>
    <s v="January"/>
  </r>
  <r>
    <n v="29"/>
    <x v="22"/>
    <x v="22"/>
    <s v="April 13,2025"/>
    <x v="11"/>
    <s v="DC"/>
    <s v="MI"/>
    <s v="League"/>
    <s v="DC"/>
    <x v="0"/>
    <n v="205"/>
    <n v="5"/>
    <n v="193"/>
    <n v="10"/>
    <s v="completed"/>
    <x v="3"/>
    <n v="12"/>
    <m/>
    <n v="6"/>
    <x v="25"/>
    <s v="Karun Nair"/>
    <n v="89"/>
    <n v="1900"/>
    <s v="January"/>
  </r>
  <r>
    <n v="30"/>
    <x v="23"/>
    <x v="23"/>
    <s v="April 14,2025"/>
    <x v="7"/>
    <s v="LSG"/>
    <s v="CSK"/>
    <s v="League"/>
    <s v="CSK"/>
    <x v="0"/>
    <n v="166"/>
    <n v="7"/>
    <n v="168"/>
    <n v="5"/>
    <s v="completed"/>
    <x v="2"/>
    <m/>
    <n v="5"/>
    <n v="3"/>
    <x v="26"/>
    <s v="Rishabh Pant"/>
    <n v="63"/>
    <n v="1900"/>
    <s v="January"/>
  </r>
  <r>
    <n v="31"/>
    <x v="24"/>
    <x v="24"/>
    <s v="April 15,2025"/>
    <x v="9"/>
    <s v="PBKS"/>
    <s v="KKR"/>
    <s v="League"/>
    <s v="PBKS"/>
    <x v="1"/>
    <n v="111"/>
    <n v="10"/>
    <n v="95"/>
    <n v="10"/>
    <s v="completed"/>
    <x v="4"/>
    <n v="16"/>
    <m/>
    <n v="29"/>
    <x v="27"/>
    <s v="Angkrish Raghuvanshi"/>
    <n v="37"/>
    <n v="1900"/>
    <s v="January"/>
  </r>
  <r>
    <n v="32"/>
    <x v="25"/>
    <x v="25"/>
    <s v="April 16,2025"/>
    <x v="11"/>
    <s v="DC"/>
    <s v="RR"/>
    <s v="League"/>
    <s v="RR"/>
    <x v="0"/>
    <n v="188"/>
    <n v="5"/>
    <n v="188"/>
    <n v="4"/>
    <s v="completed"/>
    <x v="3"/>
    <s v="super over"/>
    <s v="super over"/>
    <n v="0"/>
    <x v="9"/>
    <s v="Nitish Rana"/>
    <n v="51"/>
    <n v="1900"/>
    <s v="January"/>
  </r>
  <r>
    <n v="33"/>
    <x v="26"/>
    <x v="26"/>
    <s v="April 17,2025"/>
    <x v="6"/>
    <s v="MI"/>
    <s v="SRH"/>
    <s v="League"/>
    <s v="MI"/>
    <x v="0"/>
    <n v="162"/>
    <n v="5"/>
    <n v="166"/>
    <n v="6"/>
    <s v="completed"/>
    <x v="9"/>
    <m/>
    <n v="4"/>
    <n v="11"/>
    <x v="28"/>
    <s v="Abhishek Sharma"/>
    <n v="40"/>
    <n v="1900"/>
    <s v="February"/>
  </r>
  <r>
    <n v="34"/>
    <x v="27"/>
    <x v="27"/>
    <s v="April 18,2025"/>
    <x v="8"/>
    <s v="RCB"/>
    <s v="PBKS"/>
    <s v="League"/>
    <s v="PBKS"/>
    <x v="0"/>
    <n v="95"/>
    <n v="9"/>
    <n v="98"/>
    <n v="5"/>
    <s v="completed"/>
    <x v="4"/>
    <m/>
    <n v="5"/>
    <n v="11"/>
    <x v="29"/>
    <s v="Tim David"/>
    <n v="50"/>
    <n v="1900"/>
    <s v="February"/>
  </r>
  <r>
    <n v="35"/>
    <x v="28"/>
    <x v="28"/>
    <s v="April 19,2025"/>
    <x v="4"/>
    <s v="GT"/>
    <s v="DC"/>
    <s v="League"/>
    <s v="GT"/>
    <x v="0"/>
    <n v="203"/>
    <n v="8"/>
    <n v="204"/>
    <n v="3"/>
    <s v="completed"/>
    <x v="7"/>
    <m/>
    <n v="7"/>
    <n v="4"/>
    <x v="30"/>
    <s v="Jos Buttler"/>
    <n v="97"/>
    <n v="1900"/>
    <s v="February"/>
  </r>
  <r>
    <n v="36"/>
    <x v="28"/>
    <x v="28"/>
    <s v="April 19,2025"/>
    <x v="10"/>
    <s v="RR"/>
    <s v="LSG"/>
    <s v="League"/>
    <s v="LSG"/>
    <x v="1"/>
    <n v="180"/>
    <n v="5"/>
    <n v="178"/>
    <n v="5"/>
    <s v="completed"/>
    <x v="6"/>
    <n v="2"/>
    <m/>
    <n v="0"/>
    <x v="31"/>
    <s v="Yashasvi Jaiswal"/>
    <n v="74"/>
    <n v="1900"/>
    <s v="February"/>
  </r>
  <r>
    <n v="37"/>
    <x v="29"/>
    <x v="29"/>
    <s v="April 20,2025"/>
    <x v="9"/>
    <s v="PBKS"/>
    <s v="RCB"/>
    <s v="League"/>
    <s v="RCB"/>
    <x v="0"/>
    <n v="157"/>
    <n v="6"/>
    <n v="159"/>
    <n v="3"/>
    <s v="completed"/>
    <x v="4"/>
    <m/>
    <n v="7"/>
    <n v="7"/>
    <x v="32"/>
    <s v="Virat Kohli"/>
    <n v="73"/>
    <n v="1900"/>
    <s v="February"/>
  </r>
  <r>
    <n v="38"/>
    <x v="29"/>
    <x v="29"/>
    <s v="April 20,2025"/>
    <x v="6"/>
    <s v="MI"/>
    <s v="CSK"/>
    <s v="League"/>
    <s v="MI"/>
    <x v="0"/>
    <n v="176"/>
    <n v="5"/>
    <n v="177"/>
    <n v="1"/>
    <s v="completed"/>
    <x v="9"/>
    <m/>
    <n v="9"/>
    <n v="26"/>
    <x v="33"/>
    <s v="Rohit Sharma"/>
    <n v="76"/>
    <n v="1900"/>
    <s v="February"/>
  </r>
  <r>
    <n v="39"/>
    <x v="30"/>
    <x v="30"/>
    <s v="April 21,2025"/>
    <x v="0"/>
    <s v="KKR"/>
    <s v="GT"/>
    <s v="League"/>
    <s v="KKR"/>
    <x v="0"/>
    <n v="198"/>
    <n v="3"/>
    <n v="159"/>
    <n v="8"/>
    <s v="completed"/>
    <x v="7"/>
    <n v="39"/>
    <m/>
    <n v="0"/>
    <x v="34"/>
    <s v="Shubman Gill"/>
    <n v="90"/>
    <n v="1900"/>
    <s v="February"/>
  </r>
  <r>
    <n v="40"/>
    <x v="31"/>
    <x v="31"/>
    <s v="April 22,2025"/>
    <x v="7"/>
    <s v="LSG"/>
    <s v="DC"/>
    <s v="League"/>
    <s v="DC"/>
    <x v="0"/>
    <n v="159"/>
    <n v="6"/>
    <n v="161"/>
    <n v="2"/>
    <s v="completed"/>
    <x v="3"/>
    <m/>
    <n v="8"/>
    <n v="13"/>
    <x v="35"/>
    <s v="KL Rahul"/>
    <n v="57"/>
    <n v="1900"/>
    <s v="February"/>
  </r>
  <r>
    <n v="41"/>
    <x v="32"/>
    <x v="32"/>
    <s v="April 23,2025"/>
    <x v="1"/>
    <s v="SRH"/>
    <s v="MI"/>
    <s v="League"/>
    <s v="SRH"/>
    <x v="0"/>
    <n v="143"/>
    <n v="8"/>
    <n v="146"/>
    <n v="3"/>
    <s v="completed"/>
    <x v="9"/>
    <m/>
    <n v="7"/>
    <n v="26"/>
    <x v="36"/>
    <s v="Heinrich Klassen"/>
    <n v="71"/>
    <n v="1900"/>
    <s v="February"/>
  </r>
  <r>
    <n v="42"/>
    <x v="33"/>
    <x v="33"/>
    <s v="April 24,2025"/>
    <x v="8"/>
    <s v="RCB"/>
    <s v="RR"/>
    <s v="League"/>
    <s v="RR"/>
    <x v="0"/>
    <n v="205"/>
    <n v="5"/>
    <n v="194"/>
    <n v="9"/>
    <s v="completed"/>
    <x v="0"/>
    <n v="11"/>
    <m/>
    <n v="0"/>
    <x v="37"/>
    <s v="Virat Kohli"/>
    <n v="70"/>
    <n v="1900"/>
    <s v="February"/>
  </r>
  <r>
    <n v="43"/>
    <x v="34"/>
    <x v="34"/>
    <s v="April 25,2025"/>
    <x v="2"/>
    <s v="CSK"/>
    <s v="SRH"/>
    <s v="League"/>
    <s v="SRH"/>
    <x v="0"/>
    <n v="154"/>
    <n v="10"/>
    <n v="155"/>
    <n v="5"/>
    <s v="completed"/>
    <x v="1"/>
    <m/>
    <n v="5"/>
    <n v="8"/>
    <x v="38"/>
    <s v="Ishan Kishan"/>
    <n v="44"/>
    <n v="1900"/>
    <s v="February"/>
  </r>
  <r>
    <n v="44"/>
    <x v="35"/>
    <x v="35"/>
    <s v="April 26,2025"/>
    <x v="0"/>
    <s v="KKR"/>
    <s v="PBKS"/>
    <s v="League"/>
    <s v="PBKS"/>
    <x v="1"/>
    <n v="201"/>
    <n v="4"/>
    <n v="7"/>
    <n v="0"/>
    <s v="tied"/>
    <x v="10"/>
    <m/>
    <m/>
    <n v="114"/>
    <x v="39"/>
    <m/>
    <m/>
    <n v="1900"/>
    <s v="February"/>
  </r>
  <r>
    <n v="45"/>
    <x v="36"/>
    <x v="36"/>
    <s v="April 27,2025"/>
    <x v="6"/>
    <s v="MI"/>
    <s v="LSG"/>
    <s v="League"/>
    <s v="LSG"/>
    <x v="0"/>
    <n v="215"/>
    <n v="7"/>
    <n v="161"/>
    <n v="10"/>
    <s v="completed"/>
    <x v="9"/>
    <n v="54"/>
    <m/>
    <n v="0"/>
    <x v="28"/>
    <s v="Ryan Rickelton"/>
    <n v="58"/>
    <n v="1900"/>
    <s v="February"/>
  </r>
  <r>
    <n v="46"/>
    <x v="36"/>
    <x v="36"/>
    <s v="April 27,2025"/>
    <x v="11"/>
    <s v="DC"/>
    <s v="RCB"/>
    <s v="League"/>
    <s v="RCB"/>
    <x v="0"/>
    <n v="162"/>
    <n v="8"/>
    <n v="165"/>
    <n v="4"/>
    <s v="completed"/>
    <x v="0"/>
    <m/>
    <n v="6"/>
    <n v="9"/>
    <x v="0"/>
    <s v="Krunal Pandya"/>
    <n v="73"/>
    <n v="1900"/>
    <s v="February"/>
  </r>
  <r>
    <n v="47"/>
    <x v="37"/>
    <x v="37"/>
    <s v="April 28,2025"/>
    <x v="10"/>
    <s v="RR"/>
    <s v="GT"/>
    <s v="League"/>
    <s v="RR"/>
    <x v="0"/>
    <n v="209"/>
    <n v="4"/>
    <n v="212"/>
    <n v="2"/>
    <s v="completed"/>
    <x v="8"/>
    <m/>
    <n v="8"/>
    <n v="25"/>
    <x v="40"/>
    <s v="Vaibhav Suryavanshi"/>
    <n v="101"/>
    <n v="1900"/>
    <s v="February"/>
  </r>
  <r>
    <n v="48"/>
    <x v="38"/>
    <x v="38"/>
    <s v="April 29,2025"/>
    <x v="11"/>
    <s v="DC"/>
    <s v="KKR"/>
    <s v="League"/>
    <s v="DC"/>
    <x v="0"/>
    <n v="204"/>
    <n v="9"/>
    <n v="190"/>
    <n v="9"/>
    <s v="completed"/>
    <x v="5"/>
    <n v="14"/>
    <m/>
    <n v="0"/>
    <x v="21"/>
    <s v="Faf du Plessis"/>
    <n v="62"/>
    <n v="1900"/>
    <s v="February"/>
  </r>
  <r>
    <n v="49"/>
    <x v="39"/>
    <x v="39"/>
    <s v="April 30,2025"/>
    <x v="2"/>
    <s v="CSK"/>
    <s v="PBKS"/>
    <s v="League"/>
    <s v="PBKS"/>
    <x v="0"/>
    <n v="190"/>
    <n v="10"/>
    <n v="194"/>
    <n v="6"/>
    <s v="completed"/>
    <x v="4"/>
    <m/>
    <n v="4"/>
    <n v="2"/>
    <x v="4"/>
    <s v="Sam Curran"/>
    <n v="88"/>
    <n v="1900"/>
    <s v="February"/>
  </r>
  <r>
    <n v="50"/>
    <x v="40"/>
    <x v="40"/>
    <s v="May 1,2025"/>
    <x v="10"/>
    <s v="RR"/>
    <s v="MI"/>
    <s v="League"/>
    <s v="RR"/>
    <x v="0"/>
    <n v="217"/>
    <n v="2"/>
    <n v="117"/>
    <n v="10"/>
    <s v="completed"/>
    <x v="9"/>
    <n v="100"/>
    <m/>
    <n v="23"/>
    <x v="41"/>
    <s v="Ryan Rickelton"/>
    <n v="61"/>
    <n v="1900"/>
    <s v="February"/>
  </r>
  <r>
    <n v="51"/>
    <x v="41"/>
    <x v="41"/>
    <s v="May 2,2025"/>
    <x v="4"/>
    <s v="GT"/>
    <s v="SRH"/>
    <s v="League"/>
    <s v="SRH"/>
    <x v="0"/>
    <n v="224"/>
    <n v="6"/>
    <n v="186"/>
    <n v="6"/>
    <s v="completed"/>
    <x v="7"/>
    <n v="38"/>
    <m/>
    <n v="0"/>
    <x v="8"/>
    <s v="Shubman Gill"/>
    <n v="76"/>
    <n v="1900"/>
    <s v="February"/>
  </r>
  <r>
    <n v="52"/>
    <x v="42"/>
    <x v="42"/>
    <s v="May 3,2025"/>
    <x v="8"/>
    <s v="RCB"/>
    <s v="CSK"/>
    <s v="League"/>
    <s v="CSK"/>
    <x v="0"/>
    <n v="213"/>
    <n v="5"/>
    <n v="211"/>
    <n v="5"/>
    <s v="completed"/>
    <x v="0"/>
    <n v="2"/>
    <m/>
    <n v="0"/>
    <x v="42"/>
    <s v="Ayush Mhatre"/>
    <n v="94"/>
    <n v="1900"/>
    <s v="February"/>
  </r>
  <r>
    <n v="53"/>
    <x v="43"/>
    <x v="43"/>
    <s v="May 4,2025"/>
    <x v="0"/>
    <s v="KKR"/>
    <s v="RR"/>
    <s v="League"/>
    <s v="KKR"/>
    <x v="1"/>
    <n v="206"/>
    <n v="4"/>
    <n v="205"/>
    <n v="8"/>
    <s v="completed"/>
    <x v="5"/>
    <n v="1"/>
    <m/>
    <n v="0"/>
    <x v="43"/>
    <s v="Riyan Parag"/>
    <n v="95"/>
    <n v="1900"/>
    <s v="February"/>
  </r>
  <r>
    <n v="54"/>
    <x v="43"/>
    <x v="43"/>
    <s v="May 4,2025"/>
    <x v="12"/>
    <s v="PBKS"/>
    <s v="LSG"/>
    <s v="League"/>
    <s v="LSG"/>
    <x v="0"/>
    <n v="236"/>
    <n v="5"/>
    <n v="199"/>
    <n v="7"/>
    <s v="completed"/>
    <x v="4"/>
    <n v="37"/>
    <m/>
    <n v="0"/>
    <x v="12"/>
    <s v="Prabhsimran Singh"/>
    <n v="91"/>
    <n v="1900"/>
    <s v="February"/>
  </r>
  <r>
    <n v="55"/>
    <x v="44"/>
    <x v="44"/>
    <s v="May 5,2025"/>
    <x v="1"/>
    <s v="SRH"/>
    <s v="DC"/>
    <s v="League"/>
    <s v="SRH"/>
    <x v="0"/>
    <n v="133"/>
    <n v="7"/>
    <m/>
    <m/>
    <s v="tied"/>
    <x v="10"/>
    <m/>
    <m/>
    <m/>
    <x v="39"/>
    <m/>
    <m/>
    <n v="1900"/>
    <s v="February"/>
  </r>
  <r>
    <n v="56"/>
    <x v="45"/>
    <x v="45"/>
    <s v="May 6,2025"/>
    <x v="6"/>
    <s v="MI"/>
    <s v="GT"/>
    <s v="League"/>
    <s v="GT"/>
    <x v="0"/>
    <n v="155"/>
    <n v="8"/>
    <n v="147"/>
    <n v="7"/>
    <s v="completed"/>
    <x v="7"/>
    <m/>
    <n v="3"/>
    <n v="0"/>
    <x v="34"/>
    <s v="Will Jacks"/>
    <n v="53"/>
    <n v="1900"/>
    <s v="February"/>
  </r>
  <r>
    <n v="57"/>
    <x v="46"/>
    <x v="46"/>
    <s v="May 7,2025"/>
    <x v="0"/>
    <s v="KKR"/>
    <s v="CSK"/>
    <s v="League"/>
    <s v="KKR"/>
    <x v="1"/>
    <n v="179"/>
    <n v="6"/>
    <n v="183"/>
    <n v="8"/>
    <s v="completed"/>
    <x v="2"/>
    <m/>
    <n v="2"/>
    <n v="2"/>
    <x v="2"/>
    <s v="Dewald Brevis"/>
    <n v="52"/>
    <n v="1900"/>
    <s v="February"/>
  </r>
  <r>
    <n v="58"/>
    <x v="47"/>
    <x v="47"/>
    <s v="May 17,2025"/>
    <x v="8"/>
    <s v="RCB"/>
    <s v="KKR"/>
    <s v="League"/>
    <m/>
    <x v="0"/>
    <m/>
    <m/>
    <m/>
    <m/>
    <s v="tied"/>
    <x v="10"/>
    <m/>
    <m/>
    <m/>
    <x v="39"/>
    <m/>
    <m/>
    <n v="1900"/>
    <s v="February"/>
  </r>
  <r>
    <n v="59"/>
    <x v="48"/>
    <x v="48"/>
    <s v="May 18,2025"/>
    <x v="10"/>
    <s v="RR"/>
    <s v="PBKS"/>
    <s v="League"/>
    <s v="PBKS"/>
    <x v="1"/>
    <n v="219"/>
    <n v="5"/>
    <n v="209"/>
    <n v="7"/>
    <s v="completed"/>
    <x v="4"/>
    <n v="10"/>
    <m/>
    <n v="0"/>
    <x v="44"/>
    <s v="Nehal Wadhera"/>
    <n v="70"/>
    <n v="1900"/>
    <s v="February"/>
  </r>
  <r>
    <n v="60"/>
    <x v="48"/>
    <x v="48"/>
    <s v="May 18,2025"/>
    <x v="11"/>
    <s v="DC"/>
    <s v="GT"/>
    <s v="League"/>
    <s v="GT"/>
    <x v="0"/>
    <n v="199"/>
    <n v="3"/>
    <n v="205"/>
    <n v="0"/>
    <s v="completed"/>
    <x v="7"/>
    <m/>
    <n v="10"/>
    <n v="6"/>
    <x v="20"/>
    <s v="Sai Sudarshan"/>
    <n v="108"/>
    <n v="1900"/>
    <s v="February"/>
  </r>
  <r>
    <n v="61"/>
    <x v="49"/>
    <x v="49"/>
    <s v="May 19,2025"/>
    <x v="7"/>
    <s v="LSG"/>
    <s v="SRH"/>
    <s v="League"/>
    <s v="SRH"/>
    <x v="0"/>
    <n v="205"/>
    <n v="7"/>
    <n v="206"/>
    <n v="4"/>
    <s v="completed"/>
    <x v="1"/>
    <m/>
    <n v="6"/>
    <n v="10"/>
    <x v="23"/>
    <s v="Mitchell Marsh"/>
    <n v="65"/>
    <n v="1900"/>
    <s v="March"/>
  </r>
  <r>
    <n v="62"/>
    <x v="50"/>
    <x v="50"/>
    <s v="May 20,2025"/>
    <x v="11"/>
    <s v="CSK"/>
    <s v="RR"/>
    <s v="League"/>
    <s v="RR"/>
    <x v="0"/>
    <n v="187"/>
    <n v="8"/>
    <n v="188"/>
    <n v="4"/>
    <s v="completed"/>
    <x v="8"/>
    <m/>
    <n v="6"/>
    <n v="17"/>
    <x v="45"/>
    <s v="Vaibhav Suryavanshi"/>
    <n v="57"/>
    <n v="1900"/>
    <s v="March"/>
  </r>
  <r>
    <n v="63"/>
    <x v="51"/>
    <x v="51"/>
    <s v="May 21,2025"/>
    <x v="6"/>
    <s v="MI"/>
    <s v="DC"/>
    <s v="League"/>
    <s v="DC"/>
    <x v="0"/>
    <n v="180"/>
    <n v="5"/>
    <n v="121"/>
    <n v="10"/>
    <s v="completed"/>
    <x v="9"/>
    <n v="59"/>
    <m/>
    <n v="10"/>
    <x v="46"/>
    <s v="Suryakumar Yadav"/>
    <n v="73"/>
    <n v="1900"/>
    <s v="March"/>
  </r>
  <r>
    <n v="64"/>
    <x v="52"/>
    <x v="52"/>
    <s v="May 22,2025"/>
    <x v="4"/>
    <s v="GT"/>
    <s v="LSG"/>
    <s v="League"/>
    <s v="GT"/>
    <x v="0"/>
    <n v="235"/>
    <n v="2"/>
    <n v="202"/>
    <n v="9"/>
    <s v="completed"/>
    <x v="6"/>
    <n v="33"/>
    <m/>
    <n v="0"/>
    <x v="47"/>
    <s v="Mitchell Marsh"/>
    <n v="117"/>
    <n v="1900"/>
    <s v="March"/>
  </r>
  <r>
    <n v="65"/>
    <x v="53"/>
    <x v="53"/>
    <s v="May 23,2025"/>
    <x v="7"/>
    <s v="RCB"/>
    <s v="SRH"/>
    <s v="League"/>
    <s v="RCB"/>
    <x v="0"/>
    <n v="231"/>
    <n v="6"/>
    <n v="189"/>
    <n v="10"/>
    <s v="completed"/>
    <x v="1"/>
    <n v="42"/>
    <m/>
    <n v="1"/>
    <x v="1"/>
    <s v="Ishan Kishan"/>
    <n v="94"/>
    <n v="1900"/>
    <s v="March"/>
  </r>
  <r>
    <n v="66"/>
    <x v="54"/>
    <x v="54"/>
    <s v="May 24,2025"/>
    <x v="10"/>
    <s v="PBKS"/>
    <s v="DC"/>
    <s v="League"/>
    <s v="DC"/>
    <x v="0"/>
    <n v="206"/>
    <n v="8"/>
    <n v="208"/>
    <n v="4"/>
    <s v="completed"/>
    <x v="3"/>
    <m/>
    <n v="6"/>
    <n v="3"/>
    <x v="48"/>
    <s v="Sameer Rizvi"/>
    <n v="58"/>
    <n v="1900"/>
    <s v="March"/>
  </r>
  <r>
    <n v="67"/>
    <x v="55"/>
    <x v="55"/>
    <s v="May 25,2025"/>
    <x v="4"/>
    <s v="GT"/>
    <s v="CSK"/>
    <s v="League"/>
    <s v="CSK"/>
    <x v="1"/>
    <n v="230"/>
    <n v="5"/>
    <n v="147"/>
    <n v="10"/>
    <s v="completed"/>
    <x v="2"/>
    <n v="83"/>
    <m/>
    <n v="9"/>
    <x v="49"/>
    <s v="Dewald Brevis"/>
    <n v="57"/>
    <n v="1900"/>
    <s v="March"/>
  </r>
  <r>
    <n v="68"/>
    <x v="55"/>
    <x v="55"/>
    <s v="May 25,2025"/>
    <x v="11"/>
    <s v="KKR"/>
    <s v="SRH"/>
    <s v="League"/>
    <s v="SRH"/>
    <x v="1"/>
    <n v="278"/>
    <n v="3"/>
    <n v="168"/>
    <n v="10"/>
    <s v="completed"/>
    <x v="1"/>
    <n v="110"/>
    <m/>
    <n v="8"/>
    <x v="50"/>
    <s v="Heinrich Klassen"/>
    <n v="105"/>
    <n v="1900"/>
    <s v="March"/>
  </r>
  <r>
    <n v="69"/>
    <x v="56"/>
    <x v="56"/>
    <s v="May 26,2025"/>
    <x v="10"/>
    <s v="PBKS"/>
    <s v="MI"/>
    <s v="League"/>
    <s v="PBKS"/>
    <x v="0"/>
    <n v="184"/>
    <n v="7"/>
    <n v="187"/>
    <n v="3"/>
    <s v="completed"/>
    <x v="4"/>
    <m/>
    <n v="7"/>
    <n v="9"/>
    <x v="51"/>
    <s v="Josh Inglis"/>
    <n v="73"/>
    <n v="1900"/>
    <s v="March"/>
  </r>
  <r>
    <n v="70"/>
    <x v="57"/>
    <x v="57"/>
    <s v="May 27,2025"/>
    <x v="7"/>
    <s v="LSG"/>
    <s v="RCB"/>
    <s v="League"/>
    <s v="RCB"/>
    <x v="0"/>
    <n v="227"/>
    <n v="3"/>
    <n v="230"/>
    <n v="4"/>
    <s v="completed"/>
    <x v="0"/>
    <m/>
    <n v="6"/>
    <n v="8"/>
    <x v="52"/>
    <s v="Rishabh Pant"/>
    <n v="118"/>
    <n v="1900"/>
    <s v="March"/>
  </r>
  <r>
    <n v="71"/>
    <x v="58"/>
    <x v="58"/>
    <s v="May 29,2025"/>
    <x v="9"/>
    <s v="PBKS"/>
    <s v="RCB"/>
    <s v="Playoffs"/>
    <s v="RCB"/>
    <x v="0"/>
    <n v="101"/>
    <n v="10"/>
    <n v="106"/>
    <n v="2"/>
    <s v="completed"/>
    <x v="0"/>
    <m/>
    <n v="8"/>
    <n v="60"/>
    <x v="53"/>
    <s v="Phil Salt"/>
    <n v="56"/>
    <n v="1900"/>
    <s v="March"/>
  </r>
  <r>
    <n v="72"/>
    <x v="59"/>
    <x v="59"/>
    <s v="May 30,2025"/>
    <x v="9"/>
    <s v="GT"/>
    <s v="MI"/>
    <s v="Playoffs"/>
    <s v="MI"/>
    <x v="1"/>
    <n v="228"/>
    <n v="5"/>
    <n v="208"/>
    <n v="6"/>
    <s v="completed"/>
    <x v="9"/>
    <n v="20"/>
    <m/>
    <n v="0"/>
    <x v="33"/>
    <s v="Rohit Sharma"/>
    <n v="81"/>
    <n v="1900"/>
    <s v="March"/>
  </r>
  <r>
    <n v="73"/>
    <x v="60"/>
    <x v="60"/>
    <s v="June 1,2025"/>
    <x v="4"/>
    <s v="PBKS"/>
    <s v="MI"/>
    <s v="Playoffs"/>
    <s v="PBKS"/>
    <x v="0"/>
    <n v="203"/>
    <n v="6"/>
    <n v="207"/>
    <n v="5"/>
    <s v="completed"/>
    <x v="4"/>
    <m/>
    <n v="5"/>
    <n v="6"/>
    <x v="4"/>
    <s v="Shreyas Iyer"/>
    <n v="87"/>
    <n v="1900"/>
    <s v="March"/>
  </r>
  <r>
    <n v="74"/>
    <x v="61"/>
    <x v="61"/>
    <s v="June 3,2025"/>
    <x v="4"/>
    <s v="RCB"/>
    <s v="PBKS"/>
    <s v="Final"/>
    <s v="PBKS"/>
    <x v="0"/>
    <n v="190"/>
    <n v="9"/>
    <n v="184"/>
    <n v="7"/>
    <s v="completed"/>
    <x v="0"/>
    <n v="6"/>
    <m/>
    <n v="0"/>
    <x v="0"/>
    <s v="Shashank Singh"/>
    <n v="61"/>
    <n v="1900"/>
    <s v="Marc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C9BAA-8BA0-4875-886A-FFF9D4B7BD46}" name="RunsByVenue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A205:B219" firstHeaderRow="1" firstDataRow="1" firstDataCol="1"/>
  <pivotFields count="24">
    <pivotField showAll="0"/>
    <pivotField showAll="0"/>
    <pivotField showAll="0"/>
    <pivotField showAll="0"/>
    <pivotField axis="axisRow" showAll="0">
      <items count="14">
        <item x="3"/>
        <item x="11"/>
        <item x="5"/>
        <item x="0"/>
        <item x="7"/>
        <item x="12"/>
        <item x="8"/>
        <item x="2"/>
        <item x="4"/>
        <item x="9"/>
        <item x="1"/>
        <item x="10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First Innings Runs" fld="10" baseField="0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B2D28-7FE9-4DA1-BA69-5CBC97B25649}" name="RunsByVenueOverYears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139:O203" firstHeaderRow="1" firstDataRow="2" firstDataCol="1"/>
  <pivotFields count="24">
    <pivotField showAll="0"/>
    <pivotField showAll="0"/>
    <pivotField axis="axisRow" showAll="0">
      <items count="63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60"/>
        <item x="61"/>
        <item x="0"/>
        <item x="1"/>
        <item x="2"/>
        <item x="3"/>
        <item x="4"/>
        <item x="5"/>
        <item x="6"/>
        <item x="7"/>
        <item x="8"/>
        <item x="9"/>
        <item x="40"/>
        <item x="47"/>
        <item x="48"/>
        <item x="49"/>
        <item x="41"/>
        <item x="50"/>
        <item x="51"/>
        <item x="52"/>
        <item x="53"/>
        <item x="54"/>
        <item x="55"/>
        <item x="56"/>
        <item x="57"/>
        <item x="58"/>
        <item x="42"/>
        <item x="59"/>
        <item x="43"/>
        <item x="44"/>
        <item x="45"/>
        <item x="46"/>
        <item t="default"/>
      </items>
    </pivotField>
    <pivotField showAll="0"/>
    <pivotField axis="axisCol" showAll="0">
      <items count="14">
        <item x="3"/>
        <item x="11"/>
        <item x="5"/>
        <item x="0"/>
        <item x="7"/>
        <item x="12"/>
        <item x="8"/>
        <item x="2"/>
        <item x="4"/>
        <item x="9"/>
        <item x="1"/>
        <item x="10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Fields count="1">
    <field x="4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First Innings Runs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B9C00-874B-43D7-BF85-8A351CE1C748}" name="FirstInningsRunsTrend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2">
  <location ref="A12:B137" firstHeaderRow="1" firstDataRow="1" firstDataCol="1"/>
  <pivotFields count="24">
    <pivotField showAll="0"/>
    <pivotField axis="axisRow" showAll="0">
      <items count="63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60"/>
        <item x="61"/>
        <item x="0"/>
        <item x="1"/>
        <item x="2"/>
        <item x="3"/>
        <item x="4"/>
        <item x="5"/>
        <item x="6"/>
        <item x="7"/>
        <item x="8"/>
        <item x="9"/>
        <item x="40"/>
        <item x="47"/>
        <item x="48"/>
        <item x="49"/>
        <item x="41"/>
        <item x="50"/>
        <item x="51"/>
        <item x="52"/>
        <item x="53"/>
        <item x="54"/>
        <item x="55"/>
        <item x="56"/>
        <item x="57"/>
        <item x="58"/>
        <item x="42"/>
        <item x="59"/>
        <item x="43"/>
        <item x="44"/>
        <item x="45"/>
        <item x="46"/>
        <item t="default"/>
      </items>
    </pivotField>
    <pivotField axis="axisRow" showAll="0">
      <items count="63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60"/>
        <item x="61"/>
        <item x="0"/>
        <item x="1"/>
        <item x="2"/>
        <item x="3"/>
        <item x="4"/>
        <item x="5"/>
        <item x="6"/>
        <item x="7"/>
        <item x="8"/>
        <item x="9"/>
        <item x="40"/>
        <item x="47"/>
        <item x="48"/>
        <item x="49"/>
        <item x="41"/>
        <item x="50"/>
        <item x="51"/>
        <item x="52"/>
        <item x="53"/>
        <item x="54"/>
        <item x="55"/>
        <item x="56"/>
        <item x="57"/>
        <item x="58"/>
        <item x="42"/>
        <item x="59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1"/>
  </rowFields>
  <rowItems count="12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3"/>
    </i>
    <i>
      <x v="24"/>
    </i>
    <i r="1">
      <x v="24"/>
    </i>
    <i>
      <x v="25"/>
    </i>
    <i r="1">
      <x v="25"/>
    </i>
    <i>
      <x v="26"/>
    </i>
    <i r="1">
      <x v="26"/>
    </i>
    <i>
      <x v="27"/>
    </i>
    <i r="1">
      <x v="27"/>
    </i>
    <i>
      <x v="28"/>
    </i>
    <i r="1">
      <x v="28"/>
    </i>
    <i>
      <x v="29"/>
    </i>
    <i r="1">
      <x v="29"/>
    </i>
    <i>
      <x v="30"/>
    </i>
    <i r="1">
      <x v="30"/>
    </i>
    <i>
      <x v="31"/>
    </i>
    <i r="1">
      <x v="31"/>
    </i>
    <i>
      <x v="32"/>
    </i>
    <i r="1">
      <x v="32"/>
    </i>
    <i>
      <x v="33"/>
    </i>
    <i r="1">
      <x v="33"/>
    </i>
    <i>
      <x v="34"/>
    </i>
    <i r="1">
      <x v="34"/>
    </i>
    <i>
      <x v="35"/>
    </i>
    <i r="1">
      <x v="35"/>
    </i>
    <i>
      <x v="36"/>
    </i>
    <i r="1">
      <x v="36"/>
    </i>
    <i>
      <x v="37"/>
    </i>
    <i r="1">
      <x v="37"/>
    </i>
    <i>
      <x v="38"/>
    </i>
    <i r="1">
      <x v="38"/>
    </i>
    <i>
      <x v="39"/>
    </i>
    <i r="1">
      <x v="39"/>
    </i>
    <i>
      <x v="40"/>
    </i>
    <i r="1">
      <x v="40"/>
    </i>
    <i>
      <x v="41"/>
    </i>
    <i r="1">
      <x v="41"/>
    </i>
    <i>
      <x v="42"/>
    </i>
    <i r="1">
      <x v="42"/>
    </i>
    <i>
      <x v="43"/>
    </i>
    <i r="1">
      <x v="43"/>
    </i>
    <i>
      <x v="44"/>
    </i>
    <i r="1">
      <x v="44"/>
    </i>
    <i>
      <x v="45"/>
    </i>
    <i r="1">
      <x v="45"/>
    </i>
    <i>
      <x v="46"/>
    </i>
    <i r="1">
      <x v="46"/>
    </i>
    <i>
      <x v="47"/>
    </i>
    <i r="1">
      <x v="47"/>
    </i>
    <i>
      <x v="48"/>
    </i>
    <i r="1">
      <x v="48"/>
    </i>
    <i>
      <x v="49"/>
    </i>
    <i r="1">
      <x v="49"/>
    </i>
    <i>
      <x v="50"/>
    </i>
    <i r="1">
      <x v="50"/>
    </i>
    <i>
      <x v="51"/>
    </i>
    <i r="1">
      <x v="51"/>
    </i>
    <i>
      <x v="52"/>
    </i>
    <i r="1">
      <x v="52"/>
    </i>
    <i>
      <x v="53"/>
    </i>
    <i r="1">
      <x v="53"/>
    </i>
    <i>
      <x v="54"/>
    </i>
    <i r="1">
      <x v="54"/>
    </i>
    <i>
      <x v="55"/>
    </i>
    <i r="1">
      <x v="55"/>
    </i>
    <i>
      <x v="56"/>
    </i>
    <i r="1">
      <x v="56"/>
    </i>
    <i>
      <x v="57"/>
    </i>
    <i r="1">
      <x v="57"/>
    </i>
    <i>
      <x v="58"/>
    </i>
    <i r="1">
      <x v="58"/>
    </i>
    <i>
      <x v="59"/>
    </i>
    <i r="1">
      <x v="59"/>
    </i>
    <i>
      <x v="60"/>
    </i>
    <i r="1">
      <x v="60"/>
    </i>
    <i>
      <x v="61"/>
    </i>
    <i r="1">
      <x v="61"/>
    </i>
    <i t="grand">
      <x/>
    </i>
  </rowItems>
  <colItems count="1">
    <i/>
  </colItems>
  <dataFields count="1">
    <dataField name="Sum of First Innings Runs" fld="10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5CB50-F768-45F0-96CB-5DE94B990722}" name="RunsByTossDecisionTrend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238:D364" firstHeaderRow="1" firstDataRow="2" firstDataCol="1"/>
  <pivotFields count="24">
    <pivotField showAll="0"/>
    <pivotField axis="axisRow" showAll="0">
      <items count="63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60"/>
        <item x="61"/>
        <item x="0"/>
        <item x="1"/>
        <item x="2"/>
        <item x="3"/>
        <item x="4"/>
        <item x="5"/>
        <item x="6"/>
        <item x="7"/>
        <item x="8"/>
        <item x="9"/>
        <item x="40"/>
        <item x="47"/>
        <item x="48"/>
        <item x="49"/>
        <item x="41"/>
        <item x="50"/>
        <item x="51"/>
        <item x="52"/>
        <item x="53"/>
        <item x="54"/>
        <item x="55"/>
        <item x="56"/>
        <item x="57"/>
        <item x="58"/>
        <item x="42"/>
        <item x="59"/>
        <item x="43"/>
        <item x="44"/>
        <item x="45"/>
        <item x="46"/>
        <item t="default"/>
      </items>
    </pivotField>
    <pivotField axis="axisRow" showAll="0">
      <items count="63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60"/>
        <item x="61"/>
        <item x="0"/>
        <item x="1"/>
        <item x="2"/>
        <item x="3"/>
        <item x="4"/>
        <item x="5"/>
        <item x="6"/>
        <item x="7"/>
        <item x="8"/>
        <item x="9"/>
        <item x="40"/>
        <item x="47"/>
        <item x="48"/>
        <item x="49"/>
        <item x="41"/>
        <item x="50"/>
        <item x="51"/>
        <item x="52"/>
        <item x="53"/>
        <item x="54"/>
        <item x="55"/>
        <item x="56"/>
        <item x="57"/>
        <item x="58"/>
        <item x="42"/>
        <item x="59"/>
        <item x="43"/>
        <item x="44"/>
        <item x="45"/>
        <item x="4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1"/>
  </rowFields>
  <rowItems count="12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3"/>
    </i>
    <i>
      <x v="24"/>
    </i>
    <i r="1">
      <x v="24"/>
    </i>
    <i>
      <x v="25"/>
    </i>
    <i r="1">
      <x v="25"/>
    </i>
    <i>
      <x v="26"/>
    </i>
    <i r="1">
      <x v="26"/>
    </i>
    <i>
      <x v="27"/>
    </i>
    <i r="1">
      <x v="27"/>
    </i>
    <i>
      <x v="28"/>
    </i>
    <i r="1">
      <x v="28"/>
    </i>
    <i>
      <x v="29"/>
    </i>
    <i r="1">
      <x v="29"/>
    </i>
    <i>
      <x v="30"/>
    </i>
    <i r="1">
      <x v="30"/>
    </i>
    <i>
      <x v="31"/>
    </i>
    <i r="1">
      <x v="31"/>
    </i>
    <i>
      <x v="32"/>
    </i>
    <i r="1">
      <x v="32"/>
    </i>
    <i>
      <x v="33"/>
    </i>
    <i r="1">
      <x v="33"/>
    </i>
    <i>
      <x v="34"/>
    </i>
    <i r="1">
      <x v="34"/>
    </i>
    <i>
      <x v="35"/>
    </i>
    <i r="1">
      <x v="35"/>
    </i>
    <i>
      <x v="36"/>
    </i>
    <i r="1">
      <x v="36"/>
    </i>
    <i>
      <x v="37"/>
    </i>
    <i r="1">
      <x v="37"/>
    </i>
    <i>
      <x v="38"/>
    </i>
    <i r="1">
      <x v="38"/>
    </i>
    <i>
      <x v="39"/>
    </i>
    <i r="1">
      <x v="39"/>
    </i>
    <i>
      <x v="40"/>
    </i>
    <i r="1">
      <x v="40"/>
    </i>
    <i>
      <x v="41"/>
    </i>
    <i r="1">
      <x v="41"/>
    </i>
    <i>
      <x v="42"/>
    </i>
    <i r="1">
      <x v="42"/>
    </i>
    <i>
      <x v="43"/>
    </i>
    <i r="1">
      <x v="43"/>
    </i>
    <i>
      <x v="44"/>
    </i>
    <i r="1">
      <x v="44"/>
    </i>
    <i>
      <x v="45"/>
    </i>
    <i r="1">
      <x v="45"/>
    </i>
    <i>
      <x v="46"/>
    </i>
    <i r="1">
      <x v="46"/>
    </i>
    <i>
      <x v="47"/>
    </i>
    <i r="1">
      <x v="47"/>
    </i>
    <i>
      <x v="48"/>
    </i>
    <i r="1">
      <x v="48"/>
    </i>
    <i>
      <x v="49"/>
    </i>
    <i r="1">
      <x v="49"/>
    </i>
    <i>
      <x v="50"/>
    </i>
    <i r="1">
      <x v="50"/>
    </i>
    <i>
      <x v="51"/>
    </i>
    <i r="1">
      <x v="51"/>
    </i>
    <i>
      <x v="52"/>
    </i>
    <i r="1">
      <x v="52"/>
    </i>
    <i>
      <x v="53"/>
    </i>
    <i r="1">
      <x v="53"/>
    </i>
    <i>
      <x v="54"/>
    </i>
    <i r="1">
      <x v="54"/>
    </i>
    <i>
      <x v="55"/>
    </i>
    <i r="1">
      <x v="55"/>
    </i>
    <i>
      <x v="56"/>
    </i>
    <i r="1">
      <x v="56"/>
    </i>
    <i>
      <x v="57"/>
    </i>
    <i r="1">
      <x v="57"/>
    </i>
    <i>
      <x v="58"/>
    </i>
    <i r="1">
      <x v="58"/>
    </i>
    <i>
      <x v="59"/>
    </i>
    <i r="1">
      <x v="59"/>
    </i>
    <i>
      <x v="60"/>
    </i>
    <i r="1">
      <x v="60"/>
    </i>
    <i>
      <x v="61"/>
    </i>
    <i r="1">
      <x v="6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Sum of First Innings Runs" fld="10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10A3D4-9AB1-4FD1-AB4E-1FC697DB246F}" name="TeamWinMarginsByRuns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7">
  <location ref="A224:B236" firstHeaderRow="1" firstDataRow="1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2"/>
        <item x="3"/>
        <item x="7"/>
        <item x="5"/>
        <item x="6"/>
        <item x="9"/>
        <item x="4"/>
        <item x="0"/>
        <item x="8"/>
        <item x="1"/>
        <item x="1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Win By Runs" fld="16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5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E7D54-367C-4D7F-A5B0-8B955C78ABC9}" name="WinsByTossDecision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2">
  <location ref="A7:B9" firstHeaderRow="1" firstDataRow="1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2">
    <i>
      <x/>
    </i>
    <i t="grand">
      <x/>
    </i>
  </rowItems>
  <colItems count="1">
    <i/>
  </colItems>
  <dataFields count="1">
    <dataField name="Count of Wins" fld="15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228A7D-FE5B-4CEE-BD1F-E5D4E91E98E5}" name="PlayerOfTheMatchAwards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221:A222" firstHeaderRow="1" firstDataRow="1" firstDataCol="0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5">
        <item x="23"/>
        <item x="22"/>
        <item x="45"/>
        <item x="43"/>
        <item x="3"/>
        <item x="11"/>
        <item x="31"/>
        <item x="49"/>
        <item x="15"/>
        <item x="44"/>
        <item x="38"/>
        <item x="50"/>
        <item x="1"/>
        <item x="52"/>
        <item x="17"/>
        <item x="30"/>
        <item x="37"/>
        <item x="51"/>
        <item x="25"/>
        <item x="16"/>
        <item x="0"/>
        <item x="47"/>
        <item x="9"/>
        <item x="13"/>
        <item x="26"/>
        <item x="35"/>
        <item x="18"/>
        <item x="10"/>
        <item x="2"/>
        <item x="24"/>
        <item x="12"/>
        <item x="8"/>
        <item x="19"/>
        <item x="5"/>
        <item x="7"/>
        <item x="33"/>
        <item x="42"/>
        <item x="41"/>
        <item x="20"/>
        <item x="48"/>
        <item x="6"/>
        <item x="4"/>
        <item x="34"/>
        <item x="21"/>
        <item x="46"/>
        <item x="53"/>
        <item x="29"/>
        <item x="36"/>
        <item x="14"/>
        <item x="40"/>
        <item x="32"/>
        <item x="28"/>
        <item x="27"/>
        <item x="39"/>
        <item t="default"/>
      </items>
    </pivotField>
    <pivotField showAll="0"/>
    <pivotField showAll="0"/>
    <pivotField showAll="0"/>
    <pivotField showAll="0"/>
  </pivotFields>
  <rowItems count="1">
    <i/>
  </rowItems>
  <colItems count="1">
    <i/>
  </colItems>
  <dataFields count="1">
    <dataField name="Count of Awards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B9A25F-96C8-46AC-9143-E49AD62DAEC6}" name="TotalWinMarginRuns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4:A5" firstHeaderRow="1" firstDataRow="1" firstDataCol="0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 of Win By Runs" fld="1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C66A62-24BF-47D3-A504-7EA7CB63DFDC}" name="TotalFirstInningsRuns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1:A2" firstHeaderRow="1" firstDataRow="1" firstDataCol="0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 of First Innings Runs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A37097-31E3-4C12-A9F6-1AB71C6D4BAA}" name="Table2" displayName="Table2" ref="A1:X75" totalsRowShown="0">
  <autoFilter ref="A1:X75" xr:uid="{95A37097-31E3-4C12-A9F6-1AB71C6D4BAA}"/>
  <tableColumns count="24">
    <tableColumn id="1" xr3:uid="{27ED0E86-651D-4145-910B-29CC11D9C5A3}" name="match_id"/>
    <tableColumn id="2" xr3:uid="{CADB069B-558B-4580-8FC9-BDA202B19AF1}" name="MacthMonth"/>
    <tableColumn id="3" xr3:uid="{E6C885B2-9006-4E65-8156-AF370E229F4C}" name="MatchYear"/>
    <tableColumn id="4" xr3:uid="{251F6239-C8D8-4193-B3A5-5C969F76CDF2}" name="date"/>
    <tableColumn id="5" xr3:uid="{631BBAD2-C6D4-4C46-A567-DDE04F94A756}" name="venue"/>
    <tableColumn id="6" xr3:uid="{D923058C-399A-4503-AF04-4A77FED959DF}" name="team1"/>
    <tableColumn id="7" xr3:uid="{957ABBB5-BD03-4A35-BA24-A18B5AA44A00}" name="team2"/>
    <tableColumn id="8" xr3:uid="{32AED0F5-9549-4E77-A937-7CD29DF9AAB4}" name="stage"/>
    <tableColumn id="9" xr3:uid="{359E42C0-42A0-4CF7-948E-B75CAD7452F4}" name="toss_winner"/>
    <tableColumn id="10" xr3:uid="{FBA4FFC4-E344-4375-B8BB-8028E36F43DC}" name="toss_decision"/>
    <tableColumn id="11" xr3:uid="{8D0DAEC4-73EA-4000-99E6-685AB20BCD59}" name="first_ings_score"/>
    <tableColumn id="12" xr3:uid="{BA9EC6A5-D569-45F2-B450-97D37CC11AFE}" name="first_ings_wkts"/>
    <tableColumn id="13" xr3:uid="{52477035-B77B-448C-B00B-39F30C2EB296}" name="second_ings_score"/>
    <tableColumn id="14" xr3:uid="{3F45DAD5-5BFA-4364-8546-76E391BB18DE}" name="second_ings_wkts"/>
    <tableColumn id="15" xr3:uid="{916B34D7-2456-427A-8BEA-958624274058}" name="match_result"/>
    <tableColumn id="16" xr3:uid="{5A004C09-E333-49E5-A1C3-324525A0810E}" name="match_winner"/>
    <tableColumn id="17" xr3:uid="{7656658F-3033-4A7C-97F8-66E0DF6C28B6}" name="wb_runs"/>
    <tableColumn id="18" xr3:uid="{80538F95-8624-4F4B-B481-A1A6B6D79057}" name="wb_wickets"/>
    <tableColumn id="19" xr3:uid="{12285DA7-8A9C-4F33-A512-225E19753489}" name="balls_left"/>
    <tableColumn id="20" xr3:uid="{33E77F8F-C36C-4B88-B8BA-65C3725DC8F8}" name="player_of_the_match"/>
    <tableColumn id="21" xr3:uid="{D735FA32-AA8E-4B76-BE01-3DCF69ABBB23}" name="top_scorer"/>
    <tableColumn id="22" xr3:uid="{6E2A6AA9-A884-40E7-9C0F-4B0DA5439D5A}" name="highscore"/>
    <tableColumn id="23" xr3:uid="{991ED2F5-E18E-4DF9-967A-4F46486FEA57}" name="MatchYear2"/>
    <tableColumn id="24" xr3:uid="{C04AAA58-8383-45A9-9AC6-6E48FA3DBBE4}" name="MatchMon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31987-F90D-48CE-87F6-E6FDAF5EB0FF}" name="Table3" displayName="Table3" ref="A1:X75" totalsRowShown="0">
  <autoFilter ref="A1:X75" xr:uid="{1B831987-F90D-48CE-87F6-E6FDAF5EB0FF}"/>
  <tableColumns count="24">
    <tableColumn id="1" xr3:uid="{8832B9A2-A6E4-40EB-85BA-5B9D6814A6E9}" name="match_id"/>
    <tableColumn id="2" xr3:uid="{B4CADDA2-B0F8-4F01-B03C-7EEC7EFA308C}" name="MacthMonth"/>
    <tableColumn id="3" xr3:uid="{E1318913-A846-4C20-8708-0E8C7553C0CB}" name="MatchYear"/>
    <tableColumn id="4" xr3:uid="{6FE5FC8C-4D32-4CA6-9DFB-64E2115B89B9}" name="date"/>
    <tableColumn id="5" xr3:uid="{14F5A401-4B40-4AF8-9FBC-1C950E0DF447}" name="venue"/>
    <tableColumn id="6" xr3:uid="{34530C19-FCF4-4B36-A636-AA2927832230}" name="team1"/>
    <tableColumn id="7" xr3:uid="{8E2E4B0A-D7C4-48A1-86FC-BFAA052330BC}" name="team2"/>
    <tableColumn id="8" xr3:uid="{60727A52-3F0D-4464-891A-C320686C29F3}" name="stage"/>
    <tableColumn id="9" xr3:uid="{D93FAAE4-9DCD-419C-8DAA-EFCC8BDF8182}" name="toss_winner"/>
    <tableColumn id="10" xr3:uid="{819AD3FE-FEA1-43F2-951F-EF4401C1DD86}" name="toss_decision"/>
    <tableColumn id="11" xr3:uid="{30406B29-7AAB-4393-BA9A-1A614C0D4420}" name="first_ings_score"/>
    <tableColumn id="12" xr3:uid="{08A0C3C2-D9A3-4148-8477-261B94B85F67}" name="first_ings_wkts"/>
    <tableColumn id="13" xr3:uid="{CF4781A5-3C96-49B1-AE10-F68F8F4495C6}" name="second_ings_score"/>
    <tableColumn id="14" xr3:uid="{DB9F06E2-31FD-47B6-B6E4-E984B4E02F7E}" name="second_ings_wkts"/>
    <tableColumn id="15" xr3:uid="{61E297E0-DE9E-46D6-B6F9-8B9B23B7DA04}" name="match_result"/>
    <tableColumn id="16" xr3:uid="{F0272052-6980-42CB-9694-16E5B0F05443}" name="match_winner"/>
    <tableColumn id="17" xr3:uid="{8AE46F17-1C34-43D7-80FD-4E8923F396EF}" name="wb_runs"/>
    <tableColumn id="18" xr3:uid="{5DDECA55-3FEA-4BED-9DD2-E528FBDE7DD3}" name="wb_wickets"/>
    <tableColumn id="19" xr3:uid="{F930FDF6-2560-4284-A91B-B0FDE47C1301}" name="balls_left"/>
    <tableColumn id="20" xr3:uid="{18D189CE-0402-43DD-BAEF-ECC52A68C4AD}" name="player_of_the_match"/>
    <tableColumn id="21" xr3:uid="{1A913143-D7C7-4560-85A1-9E0CFB022510}" name="top_scorer"/>
    <tableColumn id="22" xr3:uid="{BF64AE46-66C3-415E-802C-29C357594763}" name="highscore"/>
    <tableColumn id="23" xr3:uid="{1581E5DC-B249-4A8B-B9F2-162656FE973B}" name="MatchYear2"/>
    <tableColumn id="24" xr3:uid="{0D569606-C5FA-43D1-A25B-F19FB7C847E9}" name="MatchMonth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401C37-89D0-4A6F-9D04-2A31D010276B}" name="MatchData" displayName="MatchData" ref="A1:X75" totalsRowShown="0">
  <autoFilter ref="A1:X75" xr:uid="{C7401C37-89D0-4A6F-9D04-2A31D010276B}"/>
  <tableColumns count="24">
    <tableColumn id="1" xr3:uid="{A6A17970-932A-4BFE-8574-94A92EEC588A}" name="match_id"/>
    <tableColumn id="2" xr3:uid="{5898F9BF-CA86-4AE2-A2A8-1471F8793169}" name="MacthMonth">
      <calculatedColumnFormula>TEXT(D2,"MMM")</calculatedColumnFormula>
    </tableColumn>
    <tableColumn id="3" xr3:uid="{B684E174-B655-492D-9938-406793D775FC}" name="MatchYear">
      <calculatedColumnFormula>TEXT(D2,"YYY")</calculatedColumnFormula>
    </tableColumn>
    <tableColumn id="4" xr3:uid="{B30770FF-DB13-4E67-A129-431BB0A54011}" name="date"/>
    <tableColumn id="5" xr3:uid="{742FF7E6-F200-4CF3-9C36-679C7BB761BF}" name="venue"/>
    <tableColumn id="6" xr3:uid="{44FC8B9E-86BD-4A18-B8FD-4DBC64B89532}" name="team1"/>
    <tableColumn id="7" xr3:uid="{EDC0723C-9BF2-49AA-A1E1-372CD24A6472}" name="team2"/>
    <tableColumn id="8" xr3:uid="{F1A194C3-E13D-4F8E-AD36-E775E681A117}" name="stage"/>
    <tableColumn id="9" xr3:uid="{CB22B34C-465C-47D4-B381-64A0EE455132}" name="toss_winner"/>
    <tableColumn id="10" xr3:uid="{98CB2856-6E2A-457F-8F41-88194D274442}" name="toss_decision"/>
    <tableColumn id="11" xr3:uid="{B9849877-A950-4533-9940-7FC5177CC079}" name="first_ings_score"/>
    <tableColumn id="12" xr3:uid="{406A9041-6811-4F0C-A7D0-C021544DCD0A}" name="first_ings_wkts"/>
    <tableColumn id="13" xr3:uid="{256A8A06-5F4A-4055-BDE2-75FBEA7C59CD}" name="second_ings_score"/>
    <tableColumn id="14" xr3:uid="{568BE755-ED2A-4850-BD90-70FF994CA4CC}" name="second_ings_wkts"/>
    <tableColumn id="15" xr3:uid="{7302E590-F020-4FD0-BBDD-7BA41B9BA53C}" name="match_result"/>
    <tableColumn id="16" xr3:uid="{7EA1FD91-417E-4ED5-AB34-712C2F2EA43F}" name="match_winner"/>
    <tableColumn id="17" xr3:uid="{19826514-CE08-417E-B255-0951EDDA13E3}" name="wb_runs"/>
    <tableColumn id="18" xr3:uid="{639EF060-5E67-4EEE-A84D-93BB2C22AB0F}" name="wb_wickets"/>
    <tableColumn id="19" xr3:uid="{B2E4814A-4EE5-48BF-90DD-F54637D495D5}" name="balls_left"/>
    <tableColumn id="20" xr3:uid="{19124D0D-3339-4C1E-9360-50C51F660489}" name="player_of_the_match"/>
    <tableColumn id="21" xr3:uid="{8B1D14F4-63B9-4D19-B7AC-E45226F2393F}" name="top_scorer"/>
    <tableColumn id="22" xr3:uid="{F82D2BB4-509E-43F0-96CE-5884D1CCE7B1}" name="highscore"/>
    <tableColumn id="23" xr3:uid="{BCC1EB13-CB33-41C7-A1AC-FCB9DA83B095}" name="MatchYear2"/>
    <tableColumn id="24" xr3:uid="{4FC0BFE5-BD66-4735-9829-0311E71D8902}" name="MatchMon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vmlDrawing" Target="../drawings/vmlDrawing1.v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A1ED0-E427-4E16-A2C2-45CA9CEB3C21}">
  <sheetPr codeName="Sheet4"/>
  <dimension ref="A1:X75"/>
  <sheetViews>
    <sheetView workbookViewId="0">
      <selection sqref="A1:X75"/>
    </sheetView>
  </sheetViews>
  <sheetFormatPr defaultRowHeight="14.4" x14ac:dyDescent="0.3"/>
  <cols>
    <col min="1" max="1" width="10.6640625" customWidth="1"/>
    <col min="2" max="2" width="13.109375" customWidth="1"/>
    <col min="3" max="3" width="11.6640625" customWidth="1"/>
    <col min="9" max="9" width="12.6640625" customWidth="1"/>
    <col min="10" max="10" width="14.21875" customWidth="1"/>
    <col min="11" max="11" width="15.6640625" customWidth="1"/>
    <col min="12" max="12" width="15" customWidth="1"/>
    <col min="13" max="13" width="18.33203125" customWidth="1"/>
    <col min="14" max="14" width="17.6640625" customWidth="1"/>
    <col min="15" max="15" width="13.77734375" customWidth="1"/>
    <col min="16" max="16" width="14.5546875" customWidth="1"/>
    <col min="17" max="17" width="9.6640625" customWidth="1"/>
    <col min="18" max="18" width="12.5546875" customWidth="1"/>
    <col min="19" max="19" width="10.5546875" customWidth="1"/>
    <col min="20" max="20" width="20" customWidth="1"/>
    <col min="21" max="21" width="11.6640625" customWidth="1"/>
    <col min="22" max="22" width="10.88671875" customWidth="1"/>
    <col min="23" max="23" width="12.6640625" customWidth="1"/>
    <col min="24" max="24" width="13.109375" customWidth="1"/>
  </cols>
  <sheetData>
    <row r="1" spans="1:24" x14ac:dyDescent="0.3">
      <c r="A1" t="s">
        <v>0</v>
      </c>
      <c r="B1" t="s">
        <v>179</v>
      </c>
      <c r="C1" t="s">
        <v>180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189</v>
      </c>
      <c r="X1" t="s">
        <v>190</v>
      </c>
    </row>
    <row r="2" spans="1:24" x14ac:dyDescent="0.3">
      <c r="A2">
        <v>1</v>
      </c>
      <c r="B2" t="s">
        <v>20</v>
      </c>
      <c r="C2" t="s">
        <v>20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23</v>
      </c>
      <c r="J2" t="s">
        <v>25</v>
      </c>
      <c r="K2">
        <v>174</v>
      </c>
      <c r="L2">
        <v>8</v>
      </c>
      <c r="M2">
        <v>177</v>
      </c>
      <c r="N2">
        <v>3</v>
      </c>
      <c r="O2" t="s">
        <v>26</v>
      </c>
      <c r="P2" t="s">
        <v>23</v>
      </c>
      <c r="R2">
        <v>7</v>
      </c>
      <c r="S2">
        <v>22</v>
      </c>
      <c r="T2" t="s">
        <v>27</v>
      </c>
      <c r="U2" t="s">
        <v>28</v>
      </c>
      <c r="V2">
        <v>59</v>
      </c>
      <c r="W2">
        <v>1899</v>
      </c>
      <c r="X2" t="s">
        <v>191</v>
      </c>
    </row>
    <row r="3" spans="1:24" x14ac:dyDescent="0.3">
      <c r="A3">
        <v>2</v>
      </c>
      <c r="B3" t="s">
        <v>29</v>
      </c>
      <c r="C3" t="s">
        <v>29</v>
      </c>
      <c r="D3" t="s">
        <v>29</v>
      </c>
      <c r="E3" t="s">
        <v>30</v>
      </c>
      <c r="F3" t="s">
        <v>31</v>
      </c>
      <c r="G3" t="s">
        <v>32</v>
      </c>
      <c r="H3" t="s">
        <v>24</v>
      </c>
      <c r="I3" t="s">
        <v>32</v>
      </c>
      <c r="J3" t="s">
        <v>25</v>
      </c>
      <c r="K3">
        <v>286</v>
      </c>
      <c r="L3">
        <v>6</v>
      </c>
      <c r="M3">
        <v>242</v>
      </c>
      <c r="N3">
        <v>6</v>
      </c>
      <c r="O3" t="s">
        <v>26</v>
      </c>
      <c r="P3" t="s">
        <v>31</v>
      </c>
      <c r="Q3">
        <v>44</v>
      </c>
      <c r="S3">
        <v>0</v>
      </c>
      <c r="T3" t="s">
        <v>33</v>
      </c>
      <c r="U3" t="s">
        <v>33</v>
      </c>
      <c r="V3">
        <v>106</v>
      </c>
      <c r="W3">
        <v>1900</v>
      </c>
      <c r="X3" t="s">
        <v>192</v>
      </c>
    </row>
    <row r="4" spans="1:24" x14ac:dyDescent="0.3">
      <c r="A4">
        <v>3</v>
      </c>
      <c r="B4" t="s">
        <v>29</v>
      </c>
      <c r="C4" t="s">
        <v>29</v>
      </c>
      <c r="D4" t="s">
        <v>29</v>
      </c>
      <c r="E4" t="s">
        <v>34</v>
      </c>
      <c r="F4" t="s">
        <v>35</v>
      </c>
      <c r="G4" t="s">
        <v>36</v>
      </c>
      <c r="H4" t="s">
        <v>24</v>
      </c>
      <c r="I4" t="s">
        <v>35</v>
      </c>
      <c r="J4" t="s">
        <v>25</v>
      </c>
      <c r="K4">
        <v>155</v>
      </c>
      <c r="L4">
        <v>9</v>
      </c>
      <c r="M4">
        <v>158</v>
      </c>
      <c r="N4">
        <v>6</v>
      </c>
      <c r="O4" t="s">
        <v>26</v>
      </c>
      <c r="P4" t="s">
        <v>35</v>
      </c>
      <c r="R4">
        <v>4</v>
      </c>
      <c r="S4">
        <v>5</v>
      </c>
      <c r="T4" t="s">
        <v>37</v>
      </c>
      <c r="U4" t="s">
        <v>38</v>
      </c>
      <c r="V4">
        <v>65</v>
      </c>
      <c r="W4">
        <v>1900</v>
      </c>
      <c r="X4" t="s">
        <v>192</v>
      </c>
    </row>
    <row r="5" spans="1:24" x14ac:dyDescent="0.3">
      <c r="A5">
        <v>4</v>
      </c>
      <c r="B5" t="s">
        <v>39</v>
      </c>
      <c r="C5" t="s">
        <v>39</v>
      </c>
      <c r="D5" t="s">
        <v>39</v>
      </c>
      <c r="E5" t="s">
        <v>40</v>
      </c>
      <c r="F5" t="s">
        <v>41</v>
      </c>
      <c r="G5" t="s">
        <v>42</v>
      </c>
      <c r="H5" t="s">
        <v>24</v>
      </c>
      <c r="I5" t="s">
        <v>41</v>
      </c>
      <c r="J5" t="s">
        <v>25</v>
      </c>
      <c r="K5">
        <v>209</v>
      </c>
      <c r="L5">
        <v>8</v>
      </c>
      <c r="M5">
        <v>211</v>
      </c>
      <c r="N5">
        <v>9</v>
      </c>
      <c r="O5" t="s">
        <v>26</v>
      </c>
      <c r="P5" t="s">
        <v>41</v>
      </c>
      <c r="R5">
        <v>1</v>
      </c>
      <c r="S5">
        <v>3</v>
      </c>
      <c r="T5" t="s">
        <v>43</v>
      </c>
      <c r="U5" t="s">
        <v>44</v>
      </c>
      <c r="V5">
        <v>75</v>
      </c>
      <c r="W5">
        <v>1900</v>
      </c>
      <c r="X5" t="s">
        <v>192</v>
      </c>
    </row>
    <row r="6" spans="1:24" x14ac:dyDescent="0.3">
      <c r="A6">
        <v>5</v>
      </c>
      <c r="B6" t="s">
        <v>46</v>
      </c>
      <c r="C6" t="s">
        <v>46</v>
      </c>
      <c r="D6" t="s">
        <v>46</v>
      </c>
      <c r="E6" t="s">
        <v>47</v>
      </c>
      <c r="F6" t="s">
        <v>48</v>
      </c>
      <c r="G6" t="s">
        <v>49</v>
      </c>
      <c r="H6" t="s">
        <v>24</v>
      </c>
      <c r="I6" t="s">
        <v>48</v>
      </c>
      <c r="J6" t="s">
        <v>25</v>
      </c>
      <c r="K6">
        <v>243</v>
      </c>
      <c r="L6">
        <v>5</v>
      </c>
      <c r="M6">
        <v>232</v>
      </c>
      <c r="N6">
        <v>5</v>
      </c>
      <c r="O6" t="s">
        <v>26</v>
      </c>
      <c r="P6" t="s">
        <v>49</v>
      </c>
      <c r="Q6">
        <v>11</v>
      </c>
      <c r="S6">
        <v>0</v>
      </c>
      <c r="T6" t="s">
        <v>50</v>
      </c>
      <c r="U6" t="s">
        <v>50</v>
      </c>
      <c r="V6">
        <v>97</v>
      </c>
      <c r="W6">
        <v>1900</v>
      </c>
      <c r="X6" t="s">
        <v>192</v>
      </c>
    </row>
    <row r="7" spans="1:24" x14ac:dyDescent="0.3">
      <c r="A7">
        <v>6</v>
      </c>
      <c r="B7" t="s">
        <v>51</v>
      </c>
      <c r="C7" t="s">
        <v>51</v>
      </c>
      <c r="D7" t="s">
        <v>51</v>
      </c>
      <c r="E7" t="s">
        <v>52</v>
      </c>
      <c r="F7" t="s">
        <v>32</v>
      </c>
      <c r="G7" t="s">
        <v>22</v>
      </c>
      <c r="H7" t="s">
        <v>24</v>
      </c>
      <c r="I7" t="s">
        <v>22</v>
      </c>
      <c r="J7" t="s">
        <v>25</v>
      </c>
      <c r="K7">
        <v>151</v>
      </c>
      <c r="L7">
        <v>9</v>
      </c>
      <c r="M7">
        <v>153</v>
      </c>
      <c r="N7">
        <v>2</v>
      </c>
      <c r="O7" t="s">
        <v>26</v>
      </c>
      <c r="P7" t="s">
        <v>22</v>
      </c>
      <c r="R7">
        <v>8</v>
      </c>
      <c r="S7">
        <v>15</v>
      </c>
      <c r="T7" t="s">
        <v>53</v>
      </c>
      <c r="U7" t="s">
        <v>53</v>
      </c>
      <c r="V7">
        <v>97</v>
      </c>
      <c r="W7">
        <v>1900</v>
      </c>
      <c r="X7" t="s">
        <v>192</v>
      </c>
    </row>
    <row r="8" spans="1:24" x14ac:dyDescent="0.3">
      <c r="A8">
        <v>7</v>
      </c>
      <c r="B8" t="s">
        <v>54</v>
      </c>
      <c r="C8" t="s">
        <v>54</v>
      </c>
      <c r="D8" t="s">
        <v>54</v>
      </c>
      <c r="E8" t="s">
        <v>30</v>
      </c>
      <c r="F8" t="s">
        <v>31</v>
      </c>
      <c r="G8" t="s">
        <v>42</v>
      </c>
      <c r="H8" t="s">
        <v>24</v>
      </c>
      <c r="I8" t="s">
        <v>42</v>
      </c>
      <c r="J8" t="s">
        <v>25</v>
      </c>
      <c r="K8">
        <v>190</v>
      </c>
      <c r="L8">
        <v>9</v>
      </c>
      <c r="M8">
        <v>193</v>
      </c>
      <c r="N8">
        <v>5</v>
      </c>
      <c r="O8" t="s">
        <v>26</v>
      </c>
      <c r="P8" t="s">
        <v>42</v>
      </c>
      <c r="R8">
        <v>5</v>
      </c>
      <c r="S8">
        <v>23</v>
      </c>
      <c r="T8" t="s">
        <v>55</v>
      </c>
      <c r="U8" t="s">
        <v>44</v>
      </c>
      <c r="V8">
        <v>70</v>
      </c>
      <c r="W8">
        <v>1900</v>
      </c>
      <c r="X8" t="s">
        <v>192</v>
      </c>
    </row>
    <row r="9" spans="1:24" x14ac:dyDescent="0.3">
      <c r="A9">
        <v>8</v>
      </c>
      <c r="B9" t="s">
        <v>56</v>
      </c>
      <c r="C9" t="s">
        <v>56</v>
      </c>
      <c r="D9" t="s">
        <v>56</v>
      </c>
      <c r="E9" t="s">
        <v>34</v>
      </c>
      <c r="F9" t="s">
        <v>35</v>
      </c>
      <c r="G9" t="s">
        <v>23</v>
      </c>
      <c r="H9" t="s">
        <v>24</v>
      </c>
      <c r="I9" t="s">
        <v>35</v>
      </c>
      <c r="J9" t="s">
        <v>25</v>
      </c>
      <c r="K9">
        <v>196</v>
      </c>
      <c r="L9">
        <v>7</v>
      </c>
      <c r="M9">
        <v>146</v>
      </c>
      <c r="N9">
        <v>8</v>
      </c>
      <c r="O9" t="s">
        <v>26</v>
      </c>
      <c r="P9" t="s">
        <v>23</v>
      </c>
      <c r="Q9">
        <v>50</v>
      </c>
      <c r="S9">
        <v>0</v>
      </c>
      <c r="T9" t="s">
        <v>57</v>
      </c>
      <c r="U9" t="s">
        <v>57</v>
      </c>
      <c r="V9">
        <v>51</v>
      </c>
      <c r="W9">
        <v>1900</v>
      </c>
      <c r="X9" t="s">
        <v>192</v>
      </c>
    </row>
    <row r="10" spans="1:24" x14ac:dyDescent="0.3">
      <c r="A10">
        <v>9</v>
      </c>
      <c r="B10" t="s">
        <v>59</v>
      </c>
      <c r="C10" t="s">
        <v>59</v>
      </c>
      <c r="D10" t="s">
        <v>59</v>
      </c>
      <c r="E10" t="s">
        <v>47</v>
      </c>
      <c r="F10" t="s">
        <v>48</v>
      </c>
      <c r="G10" t="s">
        <v>36</v>
      </c>
      <c r="H10" t="s">
        <v>24</v>
      </c>
      <c r="I10" t="s">
        <v>36</v>
      </c>
      <c r="J10" t="s">
        <v>25</v>
      </c>
      <c r="K10">
        <v>196</v>
      </c>
      <c r="L10">
        <v>8</v>
      </c>
      <c r="M10">
        <v>160</v>
      </c>
      <c r="N10">
        <v>6</v>
      </c>
      <c r="O10" t="s">
        <v>26</v>
      </c>
      <c r="P10" t="s">
        <v>48</v>
      </c>
      <c r="Q10">
        <v>36</v>
      </c>
      <c r="S10">
        <v>0</v>
      </c>
      <c r="T10" t="s">
        <v>60</v>
      </c>
      <c r="U10" t="s">
        <v>61</v>
      </c>
      <c r="V10">
        <v>63</v>
      </c>
      <c r="W10">
        <v>1900</v>
      </c>
      <c r="X10" t="s">
        <v>192</v>
      </c>
    </row>
    <row r="11" spans="1:24" x14ac:dyDescent="0.3">
      <c r="A11">
        <v>10</v>
      </c>
      <c r="B11" t="s">
        <v>62</v>
      </c>
      <c r="C11" t="s">
        <v>62</v>
      </c>
      <c r="D11" t="s">
        <v>62</v>
      </c>
      <c r="E11" t="s">
        <v>40</v>
      </c>
      <c r="F11" t="s">
        <v>41</v>
      </c>
      <c r="G11" t="s">
        <v>31</v>
      </c>
      <c r="H11" t="s">
        <v>24</v>
      </c>
      <c r="I11" t="s">
        <v>31</v>
      </c>
      <c r="J11" t="s">
        <v>63</v>
      </c>
      <c r="K11">
        <v>163</v>
      </c>
      <c r="L11">
        <v>10</v>
      </c>
      <c r="M11">
        <v>166</v>
      </c>
      <c r="N11">
        <v>3</v>
      </c>
      <c r="O11" t="s">
        <v>26</v>
      </c>
      <c r="P11" t="s">
        <v>41</v>
      </c>
      <c r="R11">
        <v>7</v>
      </c>
      <c r="S11">
        <v>24</v>
      </c>
      <c r="T11" t="s">
        <v>45</v>
      </c>
      <c r="U11" t="s">
        <v>64</v>
      </c>
      <c r="V11">
        <v>74</v>
      </c>
      <c r="W11">
        <v>1900</v>
      </c>
      <c r="X11" t="s">
        <v>192</v>
      </c>
    </row>
    <row r="12" spans="1:24" x14ac:dyDescent="0.3">
      <c r="A12">
        <v>11</v>
      </c>
      <c r="B12" t="s">
        <v>62</v>
      </c>
      <c r="C12" t="s">
        <v>62</v>
      </c>
      <c r="D12" t="s">
        <v>62</v>
      </c>
      <c r="E12" t="s">
        <v>52</v>
      </c>
      <c r="F12" t="s">
        <v>32</v>
      </c>
      <c r="G12" t="s">
        <v>35</v>
      </c>
      <c r="H12" t="s">
        <v>24</v>
      </c>
      <c r="I12" t="s">
        <v>35</v>
      </c>
      <c r="J12" t="s">
        <v>25</v>
      </c>
      <c r="K12">
        <v>182</v>
      </c>
      <c r="L12">
        <v>9</v>
      </c>
      <c r="M12">
        <v>176</v>
      </c>
      <c r="N12">
        <v>6</v>
      </c>
      <c r="O12" t="s">
        <v>26</v>
      </c>
      <c r="P12" t="s">
        <v>32</v>
      </c>
      <c r="Q12">
        <v>6</v>
      </c>
      <c r="S12">
        <v>0</v>
      </c>
      <c r="T12" t="s">
        <v>65</v>
      </c>
      <c r="U12" t="s">
        <v>65</v>
      </c>
      <c r="V12">
        <v>81</v>
      </c>
      <c r="W12">
        <v>1900</v>
      </c>
      <c r="X12" t="s">
        <v>192</v>
      </c>
    </row>
    <row r="13" spans="1:24" x14ac:dyDescent="0.3">
      <c r="A13">
        <v>12</v>
      </c>
      <c r="B13" t="s">
        <v>66</v>
      </c>
      <c r="C13" t="s">
        <v>66</v>
      </c>
      <c r="D13" t="s">
        <v>66</v>
      </c>
      <c r="E13" t="s">
        <v>67</v>
      </c>
      <c r="F13" t="s">
        <v>36</v>
      </c>
      <c r="G13" t="s">
        <v>22</v>
      </c>
      <c r="H13" t="s">
        <v>24</v>
      </c>
      <c r="I13" t="s">
        <v>36</v>
      </c>
      <c r="J13" t="s">
        <v>25</v>
      </c>
      <c r="K13">
        <v>116</v>
      </c>
      <c r="L13">
        <v>10</v>
      </c>
      <c r="M13">
        <v>121</v>
      </c>
      <c r="N13">
        <v>2</v>
      </c>
      <c r="O13" t="s">
        <v>26</v>
      </c>
      <c r="P13" t="s">
        <v>36</v>
      </c>
      <c r="R13">
        <v>8</v>
      </c>
      <c r="S13">
        <v>43</v>
      </c>
      <c r="T13" t="s">
        <v>68</v>
      </c>
      <c r="U13" t="s">
        <v>69</v>
      </c>
      <c r="V13">
        <v>62</v>
      </c>
      <c r="W13">
        <v>1900</v>
      </c>
      <c r="X13" t="s">
        <v>192</v>
      </c>
    </row>
    <row r="14" spans="1:24" x14ac:dyDescent="0.3">
      <c r="A14">
        <v>13</v>
      </c>
      <c r="B14" t="s">
        <v>70</v>
      </c>
      <c r="C14" t="s">
        <v>70</v>
      </c>
      <c r="D14" t="s">
        <v>70</v>
      </c>
      <c r="E14" t="s">
        <v>71</v>
      </c>
      <c r="F14" t="s">
        <v>42</v>
      </c>
      <c r="G14" t="s">
        <v>49</v>
      </c>
      <c r="H14" t="s">
        <v>24</v>
      </c>
      <c r="I14" t="s">
        <v>49</v>
      </c>
      <c r="J14" t="s">
        <v>25</v>
      </c>
      <c r="K14">
        <v>171</v>
      </c>
      <c r="L14">
        <v>7</v>
      </c>
      <c r="M14">
        <v>177</v>
      </c>
      <c r="N14">
        <v>2</v>
      </c>
      <c r="O14" t="s">
        <v>26</v>
      </c>
      <c r="P14" t="s">
        <v>49</v>
      </c>
      <c r="R14">
        <v>8</v>
      </c>
      <c r="S14">
        <v>22</v>
      </c>
      <c r="T14" t="s">
        <v>72</v>
      </c>
      <c r="U14" t="s">
        <v>72</v>
      </c>
      <c r="V14">
        <v>69</v>
      </c>
      <c r="W14">
        <v>1900</v>
      </c>
      <c r="X14" t="s">
        <v>192</v>
      </c>
    </row>
    <row r="15" spans="1:24" x14ac:dyDescent="0.3">
      <c r="A15">
        <v>14</v>
      </c>
      <c r="B15" t="s">
        <v>73</v>
      </c>
      <c r="C15" t="s">
        <v>73</v>
      </c>
      <c r="D15" t="s">
        <v>73</v>
      </c>
      <c r="E15" t="s">
        <v>74</v>
      </c>
      <c r="F15" t="s">
        <v>23</v>
      </c>
      <c r="G15" t="s">
        <v>48</v>
      </c>
      <c r="H15" t="s">
        <v>24</v>
      </c>
      <c r="I15" t="s">
        <v>48</v>
      </c>
      <c r="J15" t="s">
        <v>25</v>
      </c>
      <c r="K15">
        <v>169</v>
      </c>
      <c r="L15">
        <v>8</v>
      </c>
      <c r="M15">
        <v>170</v>
      </c>
      <c r="N15">
        <v>2</v>
      </c>
      <c r="O15" t="s">
        <v>26</v>
      </c>
      <c r="P15" t="s">
        <v>48</v>
      </c>
      <c r="R15">
        <v>8</v>
      </c>
      <c r="S15">
        <v>13</v>
      </c>
      <c r="T15" t="s">
        <v>75</v>
      </c>
      <c r="U15" t="s">
        <v>76</v>
      </c>
      <c r="V15">
        <v>73</v>
      </c>
      <c r="W15">
        <v>1900</v>
      </c>
      <c r="X15" t="s">
        <v>192</v>
      </c>
    </row>
    <row r="16" spans="1:24" x14ac:dyDescent="0.3">
      <c r="A16">
        <v>15</v>
      </c>
      <c r="B16" t="s">
        <v>77</v>
      </c>
      <c r="C16" t="s">
        <v>77</v>
      </c>
      <c r="D16" t="s">
        <v>77</v>
      </c>
      <c r="E16" t="s">
        <v>21</v>
      </c>
      <c r="F16" t="s">
        <v>22</v>
      </c>
      <c r="G16" t="s">
        <v>31</v>
      </c>
      <c r="H16" t="s">
        <v>24</v>
      </c>
      <c r="I16" t="s">
        <v>31</v>
      </c>
      <c r="J16" t="s">
        <v>25</v>
      </c>
      <c r="K16">
        <v>200</v>
      </c>
      <c r="L16">
        <v>6</v>
      </c>
      <c r="M16">
        <v>120</v>
      </c>
      <c r="N16">
        <v>10</v>
      </c>
      <c r="O16" t="s">
        <v>26</v>
      </c>
      <c r="P16" t="s">
        <v>22</v>
      </c>
      <c r="Q16">
        <v>80</v>
      </c>
      <c r="S16">
        <v>20</v>
      </c>
      <c r="T16" t="s">
        <v>78</v>
      </c>
      <c r="U16" t="s">
        <v>79</v>
      </c>
      <c r="V16">
        <v>60</v>
      </c>
      <c r="W16">
        <v>1900</v>
      </c>
      <c r="X16" t="s">
        <v>192</v>
      </c>
    </row>
    <row r="17" spans="1:24" x14ac:dyDescent="0.3">
      <c r="A17">
        <v>16</v>
      </c>
      <c r="B17" t="s">
        <v>80</v>
      </c>
      <c r="C17" t="s">
        <v>80</v>
      </c>
      <c r="D17" t="s">
        <v>80</v>
      </c>
      <c r="E17" t="s">
        <v>71</v>
      </c>
      <c r="F17" t="s">
        <v>42</v>
      </c>
      <c r="G17" t="s">
        <v>36</v>
      </c>
      <c r="H17" t="s">
        <v>24</v>
      </c>
      <c r="I17" t="s">
        <v>36</v>
      </c>
      <c r="J17" t="s">
        <v>25</v>
      </c>
      <c r="K17">
        <v>203</v>
      </c>
      <c r="L17">
        <v>8</v>
      </c>
      <c r="M17">
        <v>191</v>
      </c>
      <c r="N17">
        <v>5</v>
      </c>
      <c r="O17" t="s">
        <v>26</v>
      </c>
      <c r="P17" t="s">
        <v>42</v>
      </c>
      <c r="Q17">
        <v>12</v>
      </c>
      <c r="S17">
        <v>0</v>
      </c>
      <c r="T17" t="s">
        <v>81</v>
      </c>
      <c r="U17" t="s">
        <v>82</v>
      </c>
      <c r="V17">
        <v>67</v>
      </c>
      <c r="W17">
        <v>1900</v>
      </c>
      <c r="X17" t="s">
        <v>192</v>
      </c>
    </row>
    <row r="18" spans="1:24" x14ac:dyDescent="0.3">
      <c r="A18">
        <v>17</v>
      </c>
      <c r="B18" t="s">
        <v>83</v>
      </c>
      <c r="C18" t="s">
        <v>83</v>
      </c>
      <c r="D18" t="s">
        <v>83</v>
      </c>
      <c r="E18" t="s">
        <v>34</v>
      </c>
      <c r="F18" t="s">
        <v>35</v>
      </c>
      <c r="G18" t="s">
        <v>41</v>
      </c>
      <c r="H18" t="s">
        <v>24</v>
      </c>
      <c r="I18" t="s">
        <v>41</v>
      </c>
      <c r="J18" t="s">
        <v>63</v>
      </c>
      <c r="K18">
        <v>183</v>
      </c>
      <c r="L18">
        <v>6</v>
      </c>
      <c r="M18">
        <v>158</v>
      </c>
      <c r="N18">
        <v>5</v>
      </c>
      <c r="O18" t="s">
        <v>26</v>
      </c>
      <c r="P18" t="s">
        <v>41</v>
      </c>
      <c r="Q18">
        <v>25</v>
      </c>
      <c r="S18">
        <v>0</v>
      </c>
      <c r="T18" t="s">
        <v>84</v>
      </c>
      <c r="U18" t="s">
        <v>84</v>
      </c>
      <c r="V18">
        <v>77</v>
      </c>
      <c r="W18">
        <v>1900</v>
      </c>
      <c r="X18" t="s">
        <v>192</v>
      </c>
    </row>
    <row r="19" spans="1:24" x14ac:dyDescent="0.3">
      <c r="A19">
        <v>18</v>
      </c>
      <c r="B19" t="s">
        <v>83</v>
      </c>
      <c r="C19" t="s">
        <v>83</v>
      </c>
      <c r="D19" t="s">
        <v>83</v>
      </c>
      <c r="E19" t="s">
        <v>85</v>
      </c>
      <c r="F19" t="s">
        <v>49</v>
      </c>
      <c r="G19" t="s">
        <v>32</v>
      </c>
      <c r="H19" t="s">
        <v>24</v>
      </c>
      <c r="I19" t="s">
        <v>49</v>
      </c>
      <c r="J19" t="s">
        <v>25</v>
      </c>
      <c r="K19">
        <v>205</v>
      </c>
      <c r="L19">
        <v>4</v>
      </c>
      <c r="M19">
        <v>155</v>
      </c>
      <c r="N19">
        <v>9</v>
      </c>
      <c r="O19" t="s">
        <v>26</v>
      </c>
      <c r="P19" t="s">
        <v>32</v>
      </c>
      <c r="Q19">
        <v>50</v>
      </c>
      <c r="S19">
        <v>0</v>
      </c>
      <c r="T19" t="s">
        <v>86</v>
      </c>
      <c r="U19" t="s">
        <v>87</v>
      </c>
      <c r="V19">
        <v>67</v>
      </c>
      <c r="W19">
        <v>1900</v>
      </c>
      <c r="X19" t="s">
        <v>192</v>
      </c>
    </row>
    <row r="20" spans="1:24" x14ac:dyDescent="0.3">
      <c r="A20">
        <v>19</v>
      </c>
      <c r="B20" t="s">
        <v>88</v>
      </c>
      <c r="C20" t="s">
        <v>88</v>
      </c>
      <c r="D20" t="s">
        <v>88</v>
      </c>
      <c r="E20" t="s">
        <v>30</v>
      </c>
      <c r="F20" t="s">
        <v>31</v>
      </c>
      <c r="G20" t="s">
        <v>48</v>
      </c>
      <c r="H20" t="s">
        <v>24</v>
      </c>
      <c r="I20" t="s">
        <v>48</v>
      </c>
      <c r="J20" t="s">
        <v>25</v>
      </c>
      <c r="K20">
        <v>152</v>
      </c>
      <c r="L20">
        <v>8</v>
      </c>
      <c r="M20">
        <v>153</v>
      </c>
      <c r="N20">
        <v>3</v>
      </c>
      <c r="O20" t="s">
        <v>26</v>
      </c>
      <c r="P20" t="s">
        <v>48</v>
      </c>
      <c r="R20">
        <v>7</v>
      </c>
      <c r="S20">
        <v>20</v>
      </c>
      <c r="T20" t="s">
        <v>75</v>
      </c>
      <c r="U20" t="s">
        <v>89</v>
      </c>
      <c r="V20">
        <v>61</v>
      </c>
      <c r="W20">
        <v>1900</v>
      </c>
      <c r="X20" t="s">
        <v>192</v>
      </c>
    </row>
    <row r="21" spans="1:24" x14ac:dyDescent="0.3">
      <c r="A21">
        <v>20</v>
      </c>
      <c r="B21" t="s">
        <v>90</v>
      </c>
      <c r="C21" t="s">
        <v>90</v>
      </c>
      <c r="D21" t="s">
        <v>90</v>
      </c>
      <c r="E21" t="s">
        <v>67</v>
      </c>
      <c r="F21" t="s">
        <v>36</v>
      </c>
      <c r="G21" t="s">
        <v>23</v>
      </c>
      <c r="H21" t="s">
        <v>24</v>
      </c>
      <c r="I21" t="s">
        <v>36</v>
      </c>
      <c r="J21" t="s">
        <v>25</v>
      </c>
      <c r="K21">
        <v>221</v>
      </c>
      <c r="L21">
        <v>5</v>
      </c>
      <c r="M21">
        <v>209</v>
      </c>
      <c r="N21">
        <v>9</v>
      </c>
      <c r="O21" t="s">
        <v>26</v>
      </c>
      <c r="P21" t="s">
        <v>23</v>
      </c>
      <c r="Q21">
        <v>12</v>
      </c>
      <c r="S21">
        <v>0</v>
      </c>
      <c r="T21" t="s">
        <v>57</v>
      </c>
      <c r="U21" t="s">
        <v>28</v>
      </c>
      <c r="V21">
        <v>67</v>
      </c>
      <c r="W21">
        <v>1900</v>
      </c>
      <c r="X21" t="s">
        <v>192</v>
      </c>
    </row>
    <row r="22" spans="1:24" x14ac:dyDescent="0.3">
      <c r="A22">
        <v>21</v>
      </c>
      <c r="B22" t="s">
        <v>91</v>
      </c>
      <c r="C22" t="s">
        <v>91</v>
      </c>
      <c r="D22" t="s">
        <v>91</v>
      </c>
      <c r="E22" t="s">
        <v>21</v>
      </c>
      <c r="F22" t="s">
        <v>22</v>
      </c>
      <c r="G22" t="s">
        <v>42</v>
      </c>
      <c r="H22" t="s">
        <v>24</v>
      </c>
      <c r="I22" t="s">
        <v>22</v>
      </c>
      <c r="J22" t="s">
        <v>25</v>
      </c>
      <c r="K22">
        <v>238</v>
      </c>
      <c r="L22">
        <v>3</v>
      </c>
      <c r="M22">
        <v>234</v>
      </c>
      <c r="N22">
        <v>7</v>
      </c>
      <c r="O22" t="s">
        <v>26</v>
      </c>
      <c r="P22" t="s">
        <v>42</v>
      </c>
      <c r="Q22">
        <v>4</v>
      </c>
      <c r="S22">
        <v>0</v>
      </c>
      <c r="T22" t="s">
        <v>44</v>
      </c>
      <c r="U22" t="s">
        <v>44</v>
      </c>
      <c r="V22">
        <v>87</v>
      </c>
      <c r="W22">
        <v>1900</v>
      </c>
      <c r="X22" t="s">
        <v>192</v>
      </c>
    </row>
    <row r="23" spans="1:24" x14ac:dyDescent="0.3">
      <c r="A23">
        <v>22</v>
      </c>
      <c r="B23" t="s">
        <v>91</v>
      </c>
      <c r="C23" t="s">
        <v>91</v>
      </c>
      <c r="D23" t="s">
        <v>91</v>
      </c>
      <c r="E23" t="s">
        <v>85</v>
      </c>
      <c r="F23" t="s">
        <v>49</v>
      </c>
      <c r="G23" t="s">
        <v>35</v>
      </c>
      <c r="H23" t="s">
        <v>24</v>
      </c>
      <c r="I23" t="s">
        <v>49</v>
      </c>
      <c r="J23" t="s">
        <v>63</v>
      </c>
      <c r="K23">
        <v>219</v>
      </c>
      <c r="L23">
        <v>6</v>
      </c>
      <c r="M23">
        <v>201</v>
      </c>
      <c r="N23">
        <v>5</v>
      </c>
      <c r="O23" t="s">
        <v>26</v>
      </c>
      <c r="P23" t="s">
        <v>49</v>
      </c>
      <c r="Q23">
        <v>18</v>
      </c>
      <c r="S23">
        <v>0</v>
      </c>
      <c r="T23" t="s">
        <v>92</v>
      </c>
      <c r="U23" t="s">
        <v>92</v>
      </c>
      <c r="V23">
        <v>103</v>
      </c>
      <c r="W23">
        <v>1900</v>
      </c>
      <c r="X23" t="s">
        <v>192</v>
      </c>
    </row>
    <row r="24" spans="1:24" x14ac:dyDescent="0.3">
      <c r="A24">
        <v>23</v>
      </c>
      <c r="B24" t="s">
        <v>93</v>
      </c>
      <c r="C24" t="s">
        <v>93</v>
      </c>
      <c r="D24" t="s">
        <v>93</v>
      </c>
      <c r="E24" t="s">
        <v>47</v>
      </c>
      <c r="F24" t="s">
        <v>48</v>
      </c>
      <c r="G24" t="s">
        <v>32</v>
      </c>
      <c r="H24" t="s">
        <v>24</v>
      </c>
      <c r="I24" t="s">
        <v>32</v>
      </c>
      <c r="J24" t="s">
        <v>25</v>
      </c>
      <c r="K24">
        <v>217</v>
      </c>
      <c r="L24">
        <v>6</v>
      </c>
      <c r="M24">
        <v>159</v>
      </c>
      <c r="N24">
        <v>10</v>
      </c>
      <c r="O24" t="s">
        <v>26</v>
      </c>
      <c r="P24" t="s">
        <v>48</v>
      </c>
      <c r="Q24">
        <v>58</v>
      </c>
      <c r="S24">
        <v>4</v>
      </c>
      <c r="T24" t="s">
        <v>61</v>
      </c>
      <c r="U24" t="s">
        <v>61</v>
      </c>
      <c r="V24">
        <v>82</v>
      </c>
      <c r="W24">
        <v>1900</v>
      </c>
      <c r="X24" t="s">
        <v>192</v>
      </c>
    </row>
    <row r="25" spans="1:24" x14ac:dyDescent="0.3">
      <c r="A25">
        <v>24</v>
      </c>
      <c r="B25" t="s">
        <v>94</v>
      </c>
      <c r="C25" t="s">
        <v>94</v>
      </c>
      <c r="D25" t="s">
        <v>94</v>
      </c>
      <c r="E25" t="s">
        <v>74</v>
      </c>
      <c r="F25" t="s">
        <v>23</v>
      </c>
      <c r="G25" t="s">
        <v>41</v>
      </c>
      <c r="H25" t="s">
        <v>24</v>
      </c>
      <c r="I25" t="s">
        <v>41</v>
      </c>
      <c r="J25" t="s">
        <v>25</v>
      </c>
      <c r="K25">
        <v>163</v>
      </c>
      <c r="L25">
        <v>7</v>
      </c>
      <c r="M25">
        <v>169</v>
      </c>
      <c r="N25">
        <v>4</v>
      </c>
      <c r="O25" t="s">
        <v>26</v>
      </c>
      <c r="P25" t="s">
        <v>41</v>
      </c>
      <c r="R25">
        <v>6</v>
      </c>
      <c r="S25">
        <v>13</v>
      </c>
      <c r="T25" t="s">
        <v>84</v>
      </c>
      <c r="U25" t="s">
        <v>84</v>
      </c>
      <c r="V25">
        <v>93</v>
      </c>
      <c r="W25">
        <v>1900</v>
      </c>
      <c r="X25" t="s">
        <v>192</v>
      </c>
    </row>
    <row r="26" spans="1:24" x14ac:dyDescent="0.3">
      <c r="A26">
        <v>25</v>
      </c>
      <c r="B26" t="s">
        <v>95</v>
      </c>
      <c r="C26" t="s">
        <v>95</v>
      </c>
      <c r="D26" t="s">
        <v>95</v>
      </c>
      <c r="E26" t="s">
        <v>34</v>
      </c>
      <c r="F26" t="s">
        <v>35</v>
      </c>
      <c r="G26" t="s">
        <v>22</v>
      </c>
      <c r="H26" t="s">
        <v>24</v>
      </c>
      <c r="I26" t="s">
        <v>22</v>
      </c>
      <c r="J26" t="s">
        <v>25</v>
      </c>
      <c r="K26">
        <v>103</v>
      </c>
      <c r="L26">
        <v>9</v>
      </c>
      <c r="M26">
        <v>107</v>
      </c>
      <c r="N26">
        <v>2</v>
      </c>
      <c r="O26" t="s">
        <v>26</v>
      </c>
      <c r="P26" t="s">
        <v>22</v>
      </c>
      <c r="R26">
        <v>8</v>
      </c>
      <c r="S26">
        <v>59</v>
      </c>
      <c r="T26" t="s">
        <v>96</v>
      </c>
      <c r="U26" t="s">
        <v>96</v>
      </c>
      <c r="V26">
        <v>44</v>
      </c>
      <c r="W26">
        <v>1900</v>
      </c>
      <c r="X26" t="s">
        <v>192</v>
      </c>
    </row>
    <row r="27" spans="1:24" x14ac:dyDescent="0.3">
      <c r="A27">
        <v>26</v>
      </c>
      <c r="B27" t="s">
        <v>97</v>
      </c>
      <c r="C27" t="s">
        <v>97</v>
      </c>
      <c r="D27" t="s">
        <v>97</v>
      </c>
      <c r="E27" t="s">
        <v>71</v>
      </c>
      <c r="F27" t="s">
        <v>42</v>
      </c>
      <c r="G27" t="s">
        <v>48</v>
      </c>
      <c r="H27" t="s">
        <v>24</v>
      </c>
      <c r="I27" t="s">
        <v>42</v>
      </c>
      <c r="J27" t="s">
        <v>25</v>
      </c>
      <c r="K27">
        <v>180</v>
      </c>
      <c r="L27">
        <v>6</v>
      </c>
      <c r="M27">
        <v>186</v>
      </c>
      <c r="N27">
        <v>4</v>
      </c>
      <c r="O27" t="s">
        <v>26</v>
      </c>
      <c r="P27" t="s">
        <v>42</v>
      </c>
      <c r="R27">
        <v>6</v>
      </c>
      <c r="S27">
        <v>3</v>
      </c>
      <c r="T27" t="s">
        <v>98</v>
      </c>
      <c r="U27" t="s">
        <v>44</v>
      </c>
      <c r="V27">
        <v>61</v>
      </c>
      <c r="W27">
        <v>1900</v>
      </c>
      <c r="X27" t="s">
        <v>192</v>
      </c>
    </row>
    <row r="28" spans="1:24" x14ac:dyDescent="0.3">
      <c r="A28">
        <v>27</v>
      </c>
      <c r="B28" t="s">
        <v>97</v>
      </c>
      <c r="C28" t="s">
        <v>97</v>
      </c>
      <c r="D28" t="s">
        <v>97</v>
      </c>
      <c r="E28" t="s">
        <v>30</v>
      </c>
      <c r="F28" t="s">
        <v>31</v>
      </c>
      <c r="G28" t="s">
        <v>49</v>
      </c>
      <c r="H28" t="s">
        <v>24</v>
      </c>
      <c r="I28" t="s">
        <v>49</v>
      </c>
      <c r="J28" t="s">
        <v>63</v>
      </c>
      <c r="K28">
        <v>245</v>
      </c>
      <c r="L28">
        <v>6</v>
      </c>
      <c r="M28">
        <v>247</v>
      </c>
      <c r="N28">
        <v>2</v>
      </c>
      <c r="O28" t="s">
        <v>26</v>
      </c>
      <c r="P28" t="s">
        <v>31</v>
      </c>
      <c r="R28">
        <v>8</v>
      </c>
      <c r="S28">
        <v>9</v>
      </c>
      <c r="T28" t="s">
        <v>99</v>
      </c>
      <c r="U28" t="s">
        <v>99</v>
      </c>
      <c r="V28">
        <v>141</v>
      </c>
      <c r="W28">
        <v>1900</v>
      </c>
      <c r="X28" t="s">
        <v>192</v>
      </c>
    </row>
    <row r="29" spans="1:24" x14ac:dyDescent="0.3">
      <c r="A29">
        <v>28</v>
      </c>
      <c r="B29" t="s">
        <v>101</v>
      </c>
      <c r="C29" t="s">
        <v>101</v>
      </c>
      <c r="D29" t="s">
        <v>101</v>
      </c>
      <c r="E29" t="s">
        <v>102</v>
      </c>
      <c r="F29" t="s">
        <v>32</v>
      </c>
      <c r="G29" t="s">
        <v>23</v>
      </c>
      <c r="H29" t="s">
        <v>24</v>
      </c>
      <c r="I29" t="s">
        <v>23</v>
      </c>
      <c r="J29" t="s">
        <v>25</v>
      </c>
      <c r="K29">
        <v>173</v>
      </c>
      <c r="L29">
        <v>4</v>
      </c>
      <c r="M29">
        <v>175</v>
      </c>
      <c r="N29">
        <v>1</v>
      </c>
      <c r="O29" t="s">
        <v>26</v>
      </c>
      <c r="P29" t="s">
        <v>23</v>
      </c>
      <c r="R29">
        <v>9</v>
      </c>
      <c r="S29">
        <v>15</v>
      </c>
      <c r="T29" t="s">
        <v>103</v>
      </c>
      <c r="U29" t="s">
        <v>87</v>
      </c>
      <c r="V29">
        <v>75</v>
      </c>
      <c r="W29">
        <v>1900</v>
      </c>
      <c r="X29" t="s">
        <v>192</v>
      </c>
    </row>
    <row r="30" spans="1:24" x14ac:dyDescent="0.3">
      <c r="A30">
        <v>29</v>
      </c>
      <c r="B30" t="s">
        <v>101</v>
      </c>
      <c r="C30" t="s">
        <v>101</v>
      </c>
      <c r="D30" t="s">
        <v>101</v>
      </c>
      <c r="E30" t="s">
        <v>104</v>
      </c>
      <c r="F30" t="s">
        <v>41</v>
      </c>
      <c r="G30" t="s">
        <v>36</v>
      </c>
      <c r="H30" t="s">
        <v>24</v>
      </c>
      <c r="I30" t="s">
        <v>41</v>
      </c>
      <c r="J30" t="s">
        <v>25</v>
      </c>
      <c r="K30">
        <v>205</v>
      </c>
      <c r="L30">
        <v>5</v>
      </c>
      <c r="M30">
        <v>193</v>
      </c>
      <c r="N30">
        <v>10</v>
      </c>
      <c r="O30" t="s">
        <v>26</v>
      </c>
      <c r="P30" t="s">
        <v>41</v>
      </c>
      <c r="Q30">
        <v>12</v>
      </c>
      <c r="S30">
        <v>6</v>
      </c>
      <c r="T30" t="s">
        <v>105</v>
      </c>
      <c r="U30" t="s">
        <v>106</v>
      </c>
      <c r="V30">
        <v>89</v>
      </c>
      <c r="W30">
        <v>1900</v>
      </c>
      <c r="X30" t="s">
        <v>192</v>
      </c>
    </row>
    <row r="31" spans="1:24" x14ac:dyDescent="0.3">
      <c r="A31">
        <v>30</v>
      </c>
      <c r="B31" t="s">
        <v>107</v>
      </c>
      <c r="C31" t="s">
        <v>107</v>
      </c>
      <c r="D31" t="s">
        <v>107</v>
      </c>
      <c r="E31" t="s">
        <v>71</v>
      </c>
      <c r="F31" t="s">
        <v>42</v>
      </c>
      <c r="G31" t="s">
        <v>35</v>
      </c>
      <c r="H31" t="s">
        <v>24</v>
      </c>
      <c r="I31" t="s">
        <v>35</v>
      </c>
      <c r="J31" t="s">
        <v>25</v>
      </c>
      <c r="K31">
        <v>166</v>
      </c>
      <c r="L31">
        <v>7</v>
      </c>
      <c r="M31">
        <v>168</v>
      </c>
      <c r="N31">
        <v>5</v>
      </c>
      <c r="O31" t="s">
        <v>26</v>
      </c>
      <c r="P31" t="s">
        <v>35</v>
      </c>
      <c r="R31">
        <v>5</v>
      </c>
      <c r="S31">
        <v>3</v>
      </c>
      <c r="T31" t="s">
        <v>108</v>
      </c>
      <c r="U31" t="s">
        <v>109</v>
      </c>
      <c r="V31">
        <v>63</v>
      </c>
      <c r="W31">
        <v>1900</v>
      </c>
      <c r="X31" t="s">
        <v>192</v>
      </c>
    </row>
    <row r="32" spans="1:24" x14ac:dyDescent="0.3">
      <c r="A32">
        <v>31</v>
      </c>
      <c r="B32" t="s">
        <v>110</v>
      </c>
      <c r="C32" t="s">
        <v>110</v>
      </c>
      <c r="D32" t="s">
        <v>110</v>
      </c>
      <c r="E32" t="s">
        <v>85</v>
      </c>
      <c r="F32" t="s">
        <v>49</v>
      </c>
      <c r="G32" t="s">
        <v>22</v>
      </c>
      <c r="H32" t="s">
        <v>24</v>
      </c>
      <c r="I32" t="s">
        <v>49</v>
      </c>
      <c r="J32" t="s">
        <v>63</v>
      </c>
      <c r="K32">
        <v>111</v>
      </c>
      <c r="L32">
        <v>10</v>
      </c>
      <c r="M32">
        <v>95</v>
      </c>
      <c r="N32">
        <v>10</v>
      </c>
      <c r="O32" t="s">
        <v>26</v>
      </c>
      <c r="P32" t="s">
        <v>49</v>
      </c>
      <c r="Q32">
        <v>16</v>
      </c>
      <c r="S32">
        <v>29</v>
      </c>
      <c r="T32" t="s">
        <v>111</v>
      </c>
      <c r="U32" t="s">
        <v>112</v>
      </c>
      <c r="V32">
        <v>37</v>
      </c>
      <c r="W32">
        <v>1900</v>
      </c>
      <c r="X32" t="s">
        <v>192</v>
      </c>
    </row>
    <row r="33" spans="1:24" x14ac:dyDescent="0.3">
      <c r="A33">
        <v>32</v>
      </c>
      <c r="B33" t="s">
        <v>113</v>
      </c>
      <c r="C33" t="s">
        <v>113</v>
      </c>
      <c r="D33" t="s">
        <v>113</v>
      </c>
      <c r="E33" t="s">
        <v>104</v>
      </c>
      <c r="F33" t="s">
        <v>41</v>
      </c>
      <c r="G33" t="s">
        <v>32</v>
      </c>
      <c r="H33" t="s">
        <v>24</v>
      </c>
      <c r="I33" t="s">
        <v>32</v>
      </c>
      <c r="J33" t="s">
        <v>25</v>
      </c>
      <c r="K33">
        <v>188</v>
      </c>
      <c r="L33">
        <v>5</v>
      </c>
      <c r="M33">
        <v>188</v>
      </c>
      <c r="N33">
        <v>4</v>
      </c>
      <c r="O33" t="s">
        <v>26</v>
      </c>
      <c r="P33" t="s">
        <v>41</v>
      </c>
      <c r="Q33" t="s">
        <v>114</v>
      </c>
      <c r="R33" t="s">
        <v>114</v>
      </c>
      <c r="S33">
        <v>0</v>
      </c>
      <c r="T33" t="s">
        <v>45</v>
      </c>
      <c r="U33" t="s">
        <v>65</v>
      </c>
      <c r="V33">
        <v>51</v>
      </c>
      <c r="W33">
        <v>1900</v>
      </c>
      <c r="X33" t="s">
        <v>192</v>
      </c>
    </row>
    <row r="34" spans="1:24" x14ac:dyDescent="0.3">
      <c r="A34">
        <v>33</v>
      </c>
      <c r="B34" t="s">
        <v>115</v>
      </c>
      <c r="C34" t="s">
        <v>115</v>
      </c>
      <c r="D34" t="s">
        <v>115</v>
      </c>
      <c r="E34" t="s">
        <v>67</v>
      </c>
      <c r="F34" t="s">
        <v>36</v>
      </c>
      <c r="G34" t="s">
        <v>31</v>
      </c>
      <c r="H34" t="s">
        <v>24</v>
      </c>
      <c r="I34" t="s">
        <v>36</v>
      </c>
      <c r="J34" t="s">
        <v>25</v>
      </c>
      <c r="K34">
        <v>162</v>
      </c>
      <c r="L34">
        <v>5</v>
      </c>
      <c r="M34">
        <v>166</v>
      </c>
      <c r="N34">
        <v>6</v>
      </c>
      <c r="O34" t="s">
        <v>26</v>
      </c>
      <c r="P34" t="s">
        <v>36</v>
      </c>
      <c r="R34">
        <v>4</v>
      </c>
      <c r="S34">
        <v>11</v>
      </c>
      <c r="T34" t="s">
        <v>116</v>
      </c>
      <c r="U34" t="s">
        <v>99</v>
      </c>
      <c r="V34">
        <v>40</v>
      </c>
      <c r="W34">
        <v>1900</v>
      </c>
      <c r="X34" t="s">
        <v>193</v>
      </c>
    </row>
    <row r="35" spans="1:24" x14ac:dyDescent="0.3">
      <c r="A35">
        <v>34</v>
      </c>
      <c r="B35" t="s">
        <v>117</v>
      </c>
      <c r="C35" t="s">
        <v>117</v>
      </c>
      <c r="D35" t="s">
        <v>117</v>
      </c>
      <c r="E35" t="s">
        <v>74</v>
      </c>
      <c r="F35" t="s">
        <v>23</v>
      </c>
      <c r="G35" t="s">
        <v>49</v>
      </c>
      <c r="H35" t="s">
        <v>24</v>
      </c>
      <c r="I35" t="s">
        <v>49</v>
      </c>
      <c r="J35" t="s">
        <v>25</v>
      </c>
      <c r="K35">
        <v>95</v>
      </c>
      <c r="L35">
        <v>9</v>
      </c>
      <c r="M35">
        <v>98</v>
      </c>
      <c r="N35">
        <v>5</v>
      </c>
      <c r="O35" t="s">
        <v>26</v>
      </c>
      <c r="P35" t="s">
        <v>49</v>
      </c>
      <c r="R35">
        <v>5</v>
      </c>
      <c r="S35">
        <v>11</v>
      </c>
      <c r="T35" t="s">
        <v>118</v>
      </c>
      <c r="U35" t="s">
        <v>118</v>
      </c>
      <c r="V35">
        <v>50</v>
      </c>
      <c r="W35">
        <v>1900</v>
      </c>
      <c r="X35" t="s">
        <v>193</v>
      </c>
    </row>
    <row r="36" spans="1:24" x14ac:dyDescent="0.3">
      <c r="A36">
        <v>35</v>
      </c>
      <c r="B36" t="s">
        <v>119</v>
      </c>
      <c r="C36" t="s">
        <v>119</v>
      </c>
      <c r="D36" t="s">
        <v>119</v>
      </c>
      <c r="E36" t="s">
        <v>47</v>
      </c>
      <c r="F36" t="s">
        <v>48</v>
      </c>
      <c r="G36" t="s">
        <v>41</v>
      </c>
      <c r="H36" t="s">
        <v>24</v>
      </c>
      <c r="I36" t="s">
        <v>48</v>
      </c>
      <c r="J36" t="s">
        <v>25</v>
      </c>
      <c r="K36">
        <v>203</v>
      </c>
      <c r="L36">
        <v>8</v>
      </c>
      <c r="M36">
        <v>204</v>
      </c>
      <c r="N36">
        <v>3</v>
      </c>
      <c r="O36" t="s">
        <v>26</v>
      </c>
      <c r="P36" t="s">
        <v>48</v>
      </c>
      <c r="R36">
        <v>7</v>
      </c>
      <c r="S36">
        <v>4</v>
      </c>
      <c r="T36" t="s">
        <v>76</v>
      </c>
      <c r="U36" t="s">
        <v>76</v>
      </c>
      <c r="V36">
        <v>97</v>
      </c>
      <c r="W36">
        <v>1900</v>
      </c>
      <c r="X36" t="s">
        <v>193</v>
      </c>
    </row>
    <row r="37" spans="1:24" x14ac:dyDescent="0.3">
      <c r="A37">
        <v>36</v>
      </c>
      <c r="B37" t="s">
        <v>119</v>
      </c>
      <c r="C37" t="s">
        <v>119</v>
      </c>
      <c r="D37" t="s">
        <v>119</v>
      </c>
      <c r="E37" t="s">
        <v>102</v>
      </c>
      <c r="F37" t="s">
        <v>32</v>
      </c>
      <c r="G37" t="s">
        <v>42</v>
      </c>
      <c r="H37" t="s">
        <v>24</v>
      </c>
      <c r="I37" t="s">
        <v>42</v>
      </c>
      <c r="J37" t="s">
        <v>63</v>
      </c>
      <c r="K37">
        <v>180</v>
      </c>
      <c r="L37">
        <v>5</v>
      </c>
      <c r="M37">
        <v>178</v>
      </c>
      <c r="N37">
        <v>5</v>
      </c>
      <c r="O37" t="s">
        <v>26</v>
      </c>
      <c r="P37" t="s">
        <v>42</v>
      </c>
      <c r="Q37">
        <v>2</v>
      </c>
      <c r="S37">
        <v>0</v>
      </c>
      <c r="T37" t="s">
        <v>120</v>
      </c>
      <c r="U37" t="s">
        <v>87</v>
      </c>
      <c r="V37">
        <v>74</v>
      </c>
      <c r="W37">
        <v>1900</v>
      </c>
      <c r="X37" t="s">
        <v>193</v>
      </c>
    </row>
    <row r="38" spans="1:24" x14ac:dyDescent="0.3">
      <c r="A38">
        <v>37</v>
      </c>
      <c r="B38" t="s">
        <v>121</v>
      </c>
      <c r="C38" t="s">
        <v>121</v>
      </c>
      <c r="D38" t="s">
        <v>121</v>
      </c>
      <c r="E38" t="s">
        <v>85</v>
      </c>
      <c r="F38" t="s">
        <v>49</v>
      </c>
      <c r="G38" t="s">
        <v>23</v>
      </c>
      <c r="H38" t="s">
        <v>24</v>
      </c>
      <c r="I38" t="s">
        <v>23</v>
      </c>
      <c r="J38" t="s">
        <v>25</v>
      </c>
      <c r="K38">
        <v>157</v>
      </c>
      <c r="L38">
        <v>6</v>
      </c>
      <c r="M38">
        <v>159</v>
      </c>
      <c r="N38">
        <v>3</v>
      </c>
      <c r="O38" t="s">
        <v>26</v>
      </c>
      <c r="P38" t="s">
        <v>49</v>
      </c>
      <c r="R38">
        <v>7</v>
      </c>
      <c r="S38">
        <v>7</v>
      </c>
      <c r="T38" t="s">
        <v>28</v>
      </c>
      <c r="U38" t="s">
        <v>28</v>
      </c>
      <c r="V38">
        <v>73</v>
      </c>
      <c r="W38">
        <v>1900</v>
      </c>
      <c r="X38" t="s">
        <v>193</v>
      </c>
    </row>
    <row r="39" spans="1:24" x14ac:dyDescent="0.3">
      <c r="A39">
        <v>38</v>
      </c>
      <c r="B39" t="s">
        <v>121</v>
      </c>
      <c r="C39" t="s">
        <v>121</v>
      </c>
      <c r="D39" t="s">
        <v>121</v>
      </c>
      <c r="E39" t="s">
        <v>67</v>
      </c>
      <c r="F39" t="s">
        <v>36</v>
      </c>
      <c r="G39" t="s">
        <v>35</v>
      </c>
      <c r="H39" t="s">
        <v>24</v>
      </c>
      <c r="I39" t="s">
        <v>36</v>
      </c>
      <c r="J39" t="s">
        <v>25</v>
      </c>
      <c r="K39">
        <v>176</v>
      </c>
      <c r="L39">
        <v>5</v>
      </c>
      <c r="M39">
        <v>177</v>
      </c>
      <c r="N39">
        <v>1</v>
      </c>
      <c r="O39" t="s">
        <v>26</v>
      </c>
      <c r="P39" t="s">
        <v>36</v>
      </c>
      <c r="R39">
        <v>9</v>
      </c>
      <c r="S39">
        <v>26</v>
      </c>
      <c r="T39" t="s">
        <v>122</v>
      </c>
      <c r="U39" t="s">
        <v>122</v>
      </c>
      <c r="V39">
        <v>76</v>
      </c>
      <c r="W39">
        <v>1900</v>
      </c>
      <c r="X39" t="s">
        <v>193</v>
      </c>
    </row>
    <row r="40" spans="1:24" x14ac:dyDescent="0.3">
      <c r="A40">
        <v>39</v>
      </c>
      <c r="B40" t="s">
        <v>123</v>
      </c>
      <c r="C40" t="s">
        <v>123</v>
      </c>
      <c r="D40" t="s">
        <v>123</v>
      </c>
      <c r="E40" t="s">
        <v>21</v>
      </c>
      <c r="F40" t="s">
        <v>22</v>
      </c>
      <c r="G40" t="s">
        <v>48</v>
      </c>
      <c r="H40" t="s">
        <v>24</v>
      </c>
      <c r="I40" t="s">
        <v>22</v>
      </c>
      <c r="J40" t="s">
        <v>25</v>
      </c>
      <c r="K40">
        <v>198</v>
      </c>
      <c r="L40">
        <v>3</v>
      </c>
      <c r="M40">
        <v>159</v>
      </c>
      <c r="N40">
        <v>8</v>
      </c>
      <c r="O40" t="s">
        <v>26</v>
      </c>
      <c r="P40" t="s">
        <v>48</v>
      </c>
      <c r="Q40">
        <v>39</v>
      </c>
      <c r="S40">
        <v>0</v>
      </c>
      <c r="T40" t="s">
        <v>89</v>
      </c>
      <c r="U40" t="s">
        <v>89</v>
      </c>
      <c r="V40">
        <v>90</v>
      </c>
      <c r="W40">
        <v>1900</v>
      </c>
      <c r="X40" t="s">
        <v>193</v>
      </c>
    </row>
    <row r="41" spans="1:24" x14ac:dyDescent="0.3">
      <c r="A41">
        <v>40</v>
      </c>
      <c r="B41" t="s">
        <v>124</v>
      </c>
      <c r="C41" t="s">
        <v>124</v>
      </c>
      <c r="D41" t="s">
        <v>124</v>
      </c>
      <c r="E41" t="s">
        <v>71</v>
      </c>
      <c r="F41" t="s">
        <v>42</v>
      </c>
      <c r="G41" t="s">
        <v>41</v>
      </c>
      <c r="H41" t="s">
        <v>24</v>
      </c>
      <c r="I41" t="s">
        <v>41</v>
      </c>
      <c r="J41" t="s">
        <v>25</v>
      </c>
      <c r="K41">
        <v>159</v>
      </c>
      <c r="L41">
        <v>6</v>
      </c>
      <c r="M41">
        <v>161</v>
      </c>
      <c r="N41">
        <v>2</v>
      </c>
      <c r="O41" t="s">
        <v>26</v>
      </c>
      <c r="P41" t="s">
        <v>41</v>
      </c>
      <c r="R41">
        <v>8</v>
      </c>
      <c r="S41">
        <v>13</v>
      </c>
      <c r="T41" t="s">
        <v>125</v>
      </c>
      <c r="U41" t="s">
        <v>84</v>
      </c>
      <c r="V41">
        <v>57</v>
      </c>
      <c r="W41">
        <v>1900</v>
      </c>
      <c r="X41" t="s">
        <v>193</v>
      </c>
    </row>
    <row r="42" spans="1:24" x14ac:dyDescent="0.3">
      <c r="A42">
        <v>41</v>
      </c>
      <c r="B42" t="s">
        <v>126</v>
      </c>
      <c r="C42" t="s">
        <v>126</v>
      </c>
      <c r="D42" t="s">
        <v>126</v>
      </c>
      <c r="E42" t="s">
        <v>30</v>
      </c>
      <c r="F42" t="s">
        <v>31</v>
      </c>
      <c r="G42" t="s">
        <v>36</v>
      </c>
      <c r="H42" t="s">
        <v>24</v>
      </c>
      <c r="I42" t="s">
        <v>31</v>
      </c>
      <c r="J42" t="s">
        <v>25</v>
      </c>
      <c r="K42">
        <v>143</v>
      </c>
      <c r="L42">
        <v>8</v>
      </c>
      <c r="M42">
        <v>146</v>
      </c>
      <c r="N42">
        <v>3</v>
      </c>
      <c r="O42" t="s">
        <v>26</v>
      </c>
      <c r="P42" t="s">
        <v>36</v>
      </c>
      <c r="R42">
        <v>7</v>
      </c>
      <c r="S42">
        <v>26</v>
      </c>
      <c r="T42" t="s">
        <v>127</v>
      </c>
      <c r="U42" t="s">
        <v>128</v>
      </c>
      <c r="V42">
        <v>71</v>
      </c>
      <c r="W42">
        <v>1900</v>
      </c>
      <c r="X42" t="s">
        <v>193</v>
      </c>
    </row>
    <row r="43" spans="1:24" x14ac:dyDescent="0.3">
      <c r="A43">
        <v>42</v>
      </c>
      <c r="B43" t="s">
        <v>129</v>
      </c>
      <c r="C43" t="s">
        <v>129</v>
      </c>
      <c r="D43" t="s">
        <v>129</v>
      </c>
      <c r="E43" t="s">
        <v>74</v>
      </c>
      <c r="F43" t="s">
        <v>23</v>
      </c>
      <c r="G43" t="s">
        <v>32</v>
      </c>
      <c r="H43" t="s">
        <v>24</v>
      </c>
      <c r="I43" t="s">
        <v>32</v>
      </c>
      <c r="J43" t="s">
        <v>25</v>
      </c>
      <c r="K43">
        <v>205</v>
      </c>
      <c r="L43">
        <v>5</v>
      </c>
      <c r="M43">
        <v>194</v>
      </c>
      <c r="N43">
        <v>9</v>
      </c>
      <c r="O43" t="s">
        <v>26</v>
      </c>
      <c r="P43" t="s">
        <v>23</v>
      </c>
      <c r="Q43">
        <v>11</v>
      </c>
      <c r="S43">
        <v>0</v>
      </c>
      <c r="T43" t="s">
        <v>58</v>
      </c>
      <c r="U43" t="s">
        <v>28</v>
      </c>
      <c r="V43">
        <v>70</v>
      </c>
      <c r="W43">
        <v>1900</v>
      </c>
      <c r="X43" t="s">
        <v>193</v>
      </c>
    </row>
    <row r="44" spans="1:24" x14ac:dyDescent="0.3">
      <c r="A44">
        <v>43</v>
      </c>
      <c r="B44" t="s">
        <v>130</v>
      </c>
      <c r="C44" t="s">
        <v>130</v>
      </c>
      <c r="D44" t="s">
        <v>130</v>
      </c>
      <c r="E44" t="s">
        <v>34</v>
      </c>
      <c r="F44" t="s">
        <v>35</v>
      </c>
      <c r="G44" t="s">
        <v>31</v>
      </c>
      <c r="H44" t="s">
        <v>24</v>
      </c>
      <c r="I44" t="s">
        <v>31</v>
      </c>
      <c r="J44" t="s">
        <v>25</v>
      </c>
      <c r="K44">
        <v>154</v>
      </c>
      <c r="L44">
        <v>10</v>
      </c>
      <c r="M44">
        <v>155</v>
      </c>
      <c r="N44">
        <v>5</v>
      </c>
      <c r="O44" t="s">
        <v>26</v>
      </c>
      <c r="P44" t="s">
        <v>31</v>
      </c>
      <c r="R44">
        <v>5</v>
      </c>
      <c r="S44">
        <v>8</v>
      </c>
      <c r="T44" t="s">
        <v>100</v>
      </c>
      <c r="U44" t="s">
        <v>33</v>
      </c>
      <c r="V44">
        <v>44</v>
      </c>
      <c r="W44">
        <v>1900</v>
      </c>
      <c r="X44" t="s">
        <v>193</v>
      </c>
    </row>
    <row r="45" spans="1:24" x14ac:dyDescent="0.3">
      <c r="A45">
        <v>44</v>
      </c>
      <c r="B45" t="s">
        <v>131</v>
      </c>
      <c r="C45" t="s">
        <v>131</v>
      </c>
      <c r="D45" t="s">
        <v>131</v>
      </c>
      <c r="E45" t="s">
        <v>21</v>
      </c>
      <c r="F45" t="s">
        <v>22</v>
      </c>
      <c r="G45" t="s">
        <v>49</v>
      </c>
      <c r="H45" t="s">
        <v>24</v>
      </c>
      <c r="I45" t="s">
        <v>49</v>
      </c>
      <c r="J45" t="s">
        <v>63</v>
      </c>
      <c r="K45">
        <v>201</v>
      </c>
      <c r="L45">
        <v>4</v>
      </c>
      <c r="M45">
        <v>7</v>
      </c>
      <c r="N45">
        <v>0</v>
      </c>
      <c r="O45" t="s">
        <v>132</v>
      </c>
      <c r="S45">
        <v>114</v>
      </c>
      <c r="W45">
        <v>1900</v>
      </c>
      <c r="X45" t="s">
        <v>193</v>
      </c>
    </row>
    <row r="46" spans="1:24" x14ac:dyDescent="0.3">
      <c r="A46">
        <v>45</v>
      </c>
      <c r="B46" t="s">
        <v>133</v>
      </c>
      <c r="C46" t="s">
        <v>133</v>
      </c>
      <c r="D46" t="s">
        <v>133</v>
      </c>
      <c r="E46" t="s">
        <v>67</v>
      </c>
      <c r="F46" t="s">
        <v>36</v>
      </c>
      <c r="G46" t="s">
        <v>42</v>
      </c>
      <c r="H46" t="s">
        <v>24</v>
      </c>
      <c r="I46" t="s">
        <v>42</v>
      </c>
      <c r="J46" t="s">
        <v>25</v>
      </c>
      <c r="K46">
        <v>215</v>
      </c>
      <c r="L46">
        <v>7</v>
      </c>
      <c r="M46">
        <v>161</v>
      </c>
      <c r="N46">
        <v>10</v>
      </c>
      <c r="O46" t="s">
        <v>26</v>
      </c>
      <c r="P46" t="s">
        <v>36</v>
      </c>
      <c r="Q46">
        <v>54</v>
      </c>
      <c r="S46">
        <v>0</v>
      </c>
      <c r="T46" t="s">
        <v>116</v>
      </c>
      <c r="U46" t="s">
        <v>69</v>
      </c>
      <c r="V46">
        <v>58</v>
      </c>
      <c r="W46">
        <v>1900</v>
      </c>
      <c r="X46" t="s">
        <v>193</v>
      </c>
    </row>
    <row r="47" spans="1:24" x14ac:dyDescent="0.3">
      <c r="A47">
        <v>46</v>
      </c>
      <c r="B47" t="s">
        <v>133</v>
      </c>
      <c r="C47" t="s">
        <v>133</v>
      </c>
      <c r="D47" t="s">
        <v>133</v>
      </c>
      <c r="E47" t="s">
        <v>104</v>
      </c>
      <c r="F47" t="s">
        <v>41</v>
      </c>
      <c r="G47" t="s">
        <v>23</v>
      </c>
      <c r="H47" t="s">
        <v>24</v>
      </c>
      <c r="I47" t="s">
        <v>23</v>
      </c>
      <c r="J47" t="s">
        <v>25</v>
      </c>
      <c r="K47">
        <v>162</v>
      </c>
      <c r="L47">
        <v>8</v>
      </c>
      <c r="M47">
        <v>165</v>
      </c>
      <c r="N47">
        <v>4</v>
      </c>
      <c r="O47" t="s">
        <v>26</v>
      </c>
      <c r="P47" t="s">
        <v>23</v>
      </c>
      <c r="R47">
        <v>6</v>
      </c>
      <c r="S47">
        <v>9</v>
      </c>
      <c r="T47" t="s">
        <v>27</v>
      </c>
      <c r="U47" t="s">
        <v>27</v>
      </c>
      <c r="V47">
        <v>73</v>
      </c>
      <c r="W47">
        <v>1900</v>
      </c>
      <c r="X47" t="s">
        <v>193</v>
      </c>
    </row>
    <row r="48" spans="1:24" x14ac:dyDescent="0.3">
      <c r="A48">
        <v>47</v>
      </c>
      <c r="B48" t="s">
        <v>134</v>
      </c>
      <c r="C48" t="s">
        <v>134</v>
      </c>
      <c r="D48" t="s">
        <v>134</v>
      </c>
      <c r="E48" t="s">
        <v>102</v>
      </c>
      <c r="F48" t="s">
        <v>32</v>
      </c>
      <c r="G48" t="s">
        <v>48</v>
      </c>
      <c r="H48" t="s">
        <v>24</v>
      </c>
      <c r="I48" t="s">
        <v>32</v>
      </c>
      <c r="J48" t="s">
        <v>25</v>
      </c>
      <c r="K48">
        <v>209</v>
      </c>
      <c r="L48">
        <v>4</v>
      </c>
      <c r="M48">
        <v>212</v>
      </c>
      <c r="N48">
        <v>2</v>
      </c>
      <c r="O48" t="s">
        <v>26</v>
      </c>
      <c r="P48" t="s">
        <v>32</v>
      </c>
      <c r="R48">
        <v>8</v>
      </c>
      <c r="S48">
        <v>25</v>
      </c>
      <c r="T48" t="s">
        <v>135</v>
      </c>
      <c r="U48" t="s">
        <v>135</v>
      </c>
      <c r="V48">
        <v>101</v>
      </c>
      <c r="W48">
        <v>1900</v>
      </c>
      <c r="X48" t="s">
        <v>193</v>
      </c>
    </row>
    <row r="49" spans="1:24" x14ac:dyDescent="0.3">
      <c r="A49">
        <v>48</v>
      </c>
      <c r="B49" t="s">
        <v>136</v>
      </c>
      <c r="C49" t="s">
        <v>136</v>
      </c>
      <c r="D49" t="s">
        <v>136</v>
      </c>
      <c r="E49" t="s">
        <v>104</v>
      </c>
      <c r="F49" t="s">
        <v>41</v>
      </c>
      <c r="G49" t="s">
        <v>22</v>
      </c>
      <c r="H49" t="s">
        <v>24</v>
      </c>
      <c r="I49" t="s">
        <v>41</v>
      </c>
      <c r="J49" t="s">
        <v>25</v>
      </c>
      <c r="K49">
        <v>204</v>
      </c>
      <c r="L49">
        <v>9</v>
      </c>
      <c r="M49">
        <v>190</v>
      </c>
      <c r="N49">
        <v>9</v>
      </c>
      <c r="O49" t="s">
        <v>26</v>
      </c>
      <c r="P49" t="s">
        <v>22</v>
      </c>
      <c r="Q49">
        <v>14</v>
      </c>
      <c r="S49">
        <v>0</v>
      </c>
      <c r="T49" t="s">
        <v>96</v>
      </c>
      <c r="U49" t="s">
        <v>137</v>
      </c>
      <c r="V49">
        <v>62</v>
      </c>
      <c r="W49">
        <v>1900</v>
      </c>
      <c r="X49" t="s">
        <v>193</v>
      </c>
    </row>
    <row r="50" spans="1:24" x14ac:dyDescent="0.3">
      <c r="A50">
        <v>49</v>
      </c>
      <c r="B50" t="s">
        <v>138</v>
      </c>
      <c r="C50" t="s">
        <v>138</v>
      </c>
      <c r="D50" t="s">
        <v>138</v>
      </c>
      <c r="E50" t="s">
        <v>34</v>
      </c>
      <c r="F50" t="s">
        <v>35</v>
      </c>
      <c r="G50" t="s">
        <v>49</v>
      </c>
      <c r="H50" t="s">
        <v>24</v>
      </c>
      <c r="I50" t="s">
        <v>49</v>
      </c>
      <c r="J50" t="s">
        <v>25</v>
      </c>
      <c r="K50">
        <v>190</v>
      </c>
      <c r="L50">
        <v>10</v>
      </c>
      <c r="M50">
        <v>194</v>
      </c>
      <c r="N50">
        <v>6</v>
      </c>
      <c r="O50" t="s">
        <v>26</v>
      </c>
      <c r="P50" t="s">
        <v>49</v>
      </c>
      <c r="R50">
        <v>4</v>
      </c>
      <c r="S50">
        <v>2</v>
      </c>
      <c r="T50" t="s">
        <v>50</v>
      </c>
      <c r="U50" t="s">
        <v>139</v>
      </c>
      <c r="V50">
        <v>88</v>
      </c>
      <c r="W50">
        <v>1900</v>
      </c>
      <c r="X50" t="s">
        <v>193</v>
      </c>
    </row>
    <row r="51" spans="1:24" x14ac:dyDescent="0.3">
      <c r="A51">
        <v>50</v>
      </c>
      <c r="B51" t="s">
        <v>140</v>
      </c>
      <c r="C51" t="s">
        <v>140</v>
      </c>
      <c r="D51" t="s">
        <v>140</v>
      </c>
      <c r="E51" t="s">
        <v>102</v>
      </c>
      <c r="F51" t="s">
        <v>32</v>
      </c>
      <c r="G51" t="s">
        <v>36</v>
      </c>
      <c r="H51" t="s">
        <v>24</v>
      </c>
      <c r="I51" t="s">
        <v>32</v>
      </c>
      <c r="J51" t="s">
        <v>25</v>
      </c>
      <c r="K51">
        <v>217</v>
      </c>
      <c r="L51">
        <v>2</v>
      </c>
      <c r="M51">
        <v>117</v>
      </c>
      <c r="N51">
        <v>10</v>
      </c>
      <c r="O51" t="s">
        <v>26</v>
      </c>
      <c r="P51" t="s">
        <v>36</v>
      </c>
      <c r="Q51">
        <v>100</v>
      </c>
      <c r="S51">
        <v>23</v>
      </c>
      <c r="T51" t="s">
        <v>69</v>
      </c>
      <c r="U51" t="s">
        <v>69</v>
      </c>
      <c r="V51">
        <v>61</v>
      </c>
      <c r="W51">
        <v>1900</v>
      </c>
      <c r="X51" t="s">
        <v>193</v>
      </c>
    </row>
    <row r="52" spans="1:24" x14ac:dyDescent="0.3">
      <c r="A52">
        <v>51</v>
      </c>
      <c r="B52" t="s">
        <v>141</v>
      </c>
      <c r="C52" t="s">
        <v>141</v>
      </c>
      <c r="D52" t="s">
        <v>141</v>
      </c>
      <c r="E52" t="s">
        <v>47</v>
      </c>
      <c r="F52" t="s">
        <v>48</v>
      </c>
      <c r="G52" t="s">
        <v>31</v>
      </c>
      <c r="H52" t="s">
        <v>24</v>
      </c>
      <c r="I52" t="s">
        <v>31</v>
      </c>
      <c r="J52" t="s">
        <v>25</v>
      </c>
      <c r="K52">
        <v>224</v>
      </c>
      <c r="L52">
        <v>6</v>
      </c>
      <c r="M52">
        <v>186</v>
      </c>
      <c r="N52">
        <v>6</v>
      </c>
      <c r="O52" t="s">
        <v>26</v>
      </c>
      <c r="P52" t="s">
        <v>48</v>
      </c>
      <c r="Q52">
        <v>38</v>
      </c>
      <c r="S52">
        <v>0</v>
      </c>
      <c r="T52" t="s">
        <v>60</v>
      </c>
      <c r="U52" t="s">
        <v>89</v>
      </c>
      <c r="V52">
        <v>76</v>
      </c>
      <c r="W52">
        <v>1900</v>
      </c>
      <c r="X52" t="s">
        <v>193</v>
      </c>
    </row>
    <row r="53" spans="1:24" x14ac:dyDescent="0.3">
      <c r="A53">
        <v>52</v>
      </c>
      <c r="B53" t="s">
        <v>142</v>
      </c>
      <c r="C53" t="s">
        <v>142</v>
      </c>
      <c r="D53" t="s">
        <v>142</v>
      </c>
      <c r="E53" t="s">
        <v>74</v>
      </c>
      <c r="F53" t="s">
        <v>23</v>
      </c>
      <c r="G53" t="s">
        <v>35</v>
      </c>
      <c r="H53" t="s">
        <v>24</v>
      </c>
      <c r="I53" t="s">
        <v>35</v>
      </c>
      <c r="J53" t="s">
        <v>25</v>
      </c>
      <c r="K53">
        <v>213</v>
      </c>
      <c r="L53">
        <v>5</v>
      </c>
      <c r="M53">
        <v>211</v>
      </c>
      <c r="N53">
        <v>5</v>
      </c>
      <c r="O53" t="s">
        <v>26</v>
      </c>
      <c r="P53" t="s">
        <v>23</v>
      </c>
      <c r="Q53">
        <v>2</v>
      </c>
      <c r="S53">
        <v>0</v>
      </c>
      <c r="T53" t="s">
        <v>143</v>
      </c>
      <c r="U53" t="s">
        <v>144</v>
      </c>
      <c r="V53">
        <v>94</v>
      </c>
      <c r="W53">
        <v>1900</v>
      </c>
      <c r="X53" t="s">
        <v>193</v>
      </c>
    </row>
    <row r="54" spans="1:24" x14ac:dyDescent="0.3">
      <c r="A54">
        <v>53</v>
      </c>
      <c r="B54" t="s">
        <v>145</v>
      </c>
      <c r="C54" t="s">
        <v>145</v>
      </c>
      <c r="D54" t="s">
        <v>145</v>
      </c>
      <c r="E54" t="s">
        <v>21</v>
      </c>
      <c r="F54" t="s">
        <v>22</v>
      </c>
      <c r="G54" t="s">
        <v>32</v>
      </c>
      <c r="H54" t="s">
        <v>24</v>
      </c>
      <c r="I54" t="s">
        <v>22</v>
      </c>
      <c r="J54" t="s">
        <v>63</v>
      </c>
      <c r="K54">
        <v>206</v>
      </c>
      <c r="L54">
        <v>4</v>
      </c>
      <c r="M54">
        <v>205</v>
      </c>
      <c r="N54">
        <v>8</v>
      </c>
      <c r="O54" t="s">
        <v>26</v>
      </c>
      <c r="P54" t="s">
        <v>22</v>
      </c>
      <c r="Q54">
        <v>1</v>
      </c>
      <c r="S54">
        <v>0</v>
      </c>
      <c r="T54" t="s">
        <v>146</v>
      </c>
      <c r="U54" t="s">
        <v>147</v>
      </c>
      <c r="V54">
        <v>95</v>
      </c>
      <c r="W54">
        <v>1900</v>
      </c>
      <c r="X54" t="s">
        <v>193</v>
      </c>
    </row>
    <row r="55" spans="1:24" x14ac:dyDescent="0.3">
      <c r="A55">
        <v>54</v>
      </c>
      <c r="B55" t="s">
        <v>145</v>
      </c>
      <c r="C55" t="s">
        <v>145</v>
      </c>
      <c r="D55" t="s">
        <v>145</v>
      </c>
      <c r="E55" t="s">
        <v>148</v>
      </c>
      <c r="F55" t="s">
        <v>49</v>
      </c>
      <c r="G55" t="s">
        <v>42</v>
      </c>
      <c r="H55" t="s">
        <v>24</v>
      </c>
      <c r="I55" t="s">
        <v>42</v>
      </c>
      <c r="J55" t="s">
        <v>25</v>
      </c>
      <c r="K55">
        <v>236</v>
      </c>
      <c r="L55">
        <v>5</v>
      </c>
      <c r="M55">
        <v>199</v>
      </c>
      <c r="N55">
        <v>7</v>
      </c>
      <c r="O55" t="s">
        <v>26</v>
      </c>
      <c r="P55" t="s">
        <v>49</v>
      </c>
      <c r="Q55">
        <v>37</v>
      </c>
      <c r="S55">
        <v>0</v>
      </c>
      <c r="T55" t="s">
        <v>72</v>
      </c>
      <c r="U55" t="s">
        <v>72</v>
      </c>
      <c r="V55">
        <v>91</v>
      </c>
      <c r="W55">
        <v>1900</v>
      </c>
      <c r="X55" t="s">
        <v>193</v>
      </c>
    </row>
    <row r="56" spans="1:24" x14ac:dyDescent="0.3">
      <c r="A56">
        <v>55</v>
      </c>
      <c r="B56" t="s">
        <v>149</v>
      </c>
      <c r="C56" t="s">
        <v>149</v>
      </c>
      <c r="D56" t="s">
        <v>149</v>
      </c>
      <c r="E56" t="s">
        <v>30</v>
      </c>
      <c r="F56" t="s">
        <v>31</v>
      </c>
      <c r="G56" t="s">
        <v>41</v>
      </c>
      <c r="H56" t="s">
        <v>24</v>
      </c>
      <c r="I56" t="s">
        <v>31</v>
      </c>
      <c r="J56" t="s">
        <v>25</v>
      </c>
      <c r="K56">
        <v>133</v>
      </c>
      <c r="L56">
        <v>7</v>
      </c>
      <c r="O56" t="s">
        <v>132</v>
      </c>
      <c r="W56">
        <v>1900</v>
      </c>
      <c r="X56" t="s">
        <v>193</v>
      </c>
    </row>
    <row r="57" spans="1:24" x14ac:dyDescent="0.3">
      <c r="A57">
        <v>56</v>
      </c>
      <c r="B57" t="s">
        <v>150</v>
      </c>
      <c r="C57" t="s">
        <v>150</v>
      </c>
      <c r="D57" t="s">
        <v>150</v>
      </c>
      <c r="E57" t="s">
        <v>67</v>
      </c>
      <c r="F57" t="s">
        <v>36</v>
      </c>
      <c r="G57" t="s">
        <v>48</v>
      </c>
      <c r="H57" t="s">
        <v>24</v>
      </c>
      <c r="I57" t="s">
        <v>48</v>
      </c>
      <c r="J57" t="s">
        <v>25</v>
      </c>
      <c r="K57">
        <v>155</v>
      </c>
      <c r="L57">
        <v>8</v>
      </c>
      <c r="M57">
        <v>147</v>
      </c>
      <c r="N57">
        <v>7</v>
      </c>
      <c r="O57" t="s">
        <v>26</v>
      </c>
      <c r="P57" t="s">
        <v>48</v>
      </c>
      <c r="R57">
        <v>3</v>
      </c>
      <c r="S57">
        <v>0</v>
      </c>
      <c r="T57" t="s">
        <v>89</v>
      </c>
      <c r="U57" t="s">
        <v>116</v>
      </c>
      <c r="V57">
        <v>53</v>
      </c>
      <c r="W57">
        <v>1900</v>
      </c>
      <c r="X57" t="s">
        <v>193</v>
      </c>
    </row>
    <row r="58" spans="1:24" x14ac:dyDescent="0.3">
      <c r="A58">
        <v>57</v>
      </c>
      <c r="B58" t="s">
        <v>151</v>
      </c>
      <c r="C58" t="s">
        <v>151</v>
      </c>
      <c r="D58" t="s">
        <v>151</v>
      </c>
      <c r="E58" t="s">
        <v>21</v>
      </c>
      <c r="F58" t="s">
        <v>22</v>
      </c>
      <c r="G58" t="s">
        <v>35</v>
      </c>
      <c r="H58" t="s">
        <v>24</v>
      </c>
      <c r="I58" t="s">
        <v>22</v>
      </c>
      <c r="J58" t="s">
        <v>63</v>
      </c>
      <c r="K58">
        <v>179</v>
      </c>
      <c r="L58">
        <v>6</v>
      </c>
      <c r="M58">
        <v>183</v>
      </c>
      <c r="N58">
        <v>8</v>
      </c>
      <c r="O58" t="s">
        <v>26</v>
      </c>
      <c r="P58" t="s">
        <v>35</v>
      </c>
      <c r="R58">
        <v>2</v>
      </c>
      <c r="S58">
        <v>2</v>
      </c>
      <c r="T58" t="s">
        <v>37</v>
      </c>
      <c r="U58" t="s">
        <v>152</v>
      </c>
      <c r="V58">
        <v>52</v>
      </c>
      <c r="W58">
        <v>1900</v>
      </c>
      <c r="X58" t="s">
        <v>193</v>
      </c>
    </row>
    <row r="59" spans="1:24" x14ac:dyDescent="0.3">
      <c r="A59">
        <v>58</v>
      </c>
      <c r="B59" t="s">
        <v>153</v>
      </c>
      <c r="C59" t="s">
        <v>153</v>
      </c>
      <c r="D59" t="s">
        <v>153</v>
      </c>
      <c r="E59" t="s">
        <v>74</v>
      </c>
      <c r="F59" t="s">
        <v>23</v>
      </c>
      <c r="G59" t="s">
        <v>22</v>
      </c>
      <c r="H59" t="s">
        <v>24</v>
      </c>
      <c r="J59" t="s">
        <v>25</v>
      </c>
      <c r="O59" t="s">
        <v>132</v>
      </c>
      <c r="W59">
        <v>1900</v>
      </c>
      <c r="X59" t="s">
        <v>193</v>
      </c>
    </row>
    <row r="60" spans="1:24" x14ac:dyDescent="0.3">
      <c r="A60">
        <v>59</v>
      </c>
      <c r="B60" t="s">
        <v>154</v>
      </c>
      <c r="C60" t="s">
        <v>154</v>
      </c>
      <c r="D60" t="s">
        <v>154</v>
      </c>
      <c r="E60" t="s">
        <v>102</v>
      </c>
      <c r="F60" t="s">
        <v>32</v>
      </c>
      <c r="G60" t="s">
        <v>49</v>
      </c>
      <c r="H60" t="s">
        <v>24</v>
      </c>
      <c r="I60" t="s">
        <v>49</v>
      </c>
      <c r="J60" t="s">
        <v>63</v>
      </c>
      <c r="K60">
        <v>219</v>
      </c>
      <c r="L60">
        <v>5</v>
      </c>
      <c r="M60">
        <v>209</v>
      </c>
      <c r="N60">
        <v>7</v>
      </c>
      <c r="O60" t="s">
        <v>26</v>
      </c>
      <c r="P60" t="s">
        <v>49</v>
      </c>
      <c r="Q60">
        <v>10</v>
      </c>
      <c r="S60">
        <v>0</v>
      </c>
      <c r="T60" t="s">
        <v>155</v>
      </c>
      <c r="U60" t="s">
        <v>156</v>
      </c>
      <c r="V60">
        <v>70</v>
      </c>
      <c r="W60">
        <v>1900</v>
      </c>
      <c r="X60" t="s">
        <v>193</v>
      </c>
    </row>
    <row r="61" spans="1:24" x14ac:dyDescent="0.3">
      <c r="A61">
        <v>60</v>
      </c>
      <c r="B61" t="s">
        <v>154</v>
      </c>
      <c r="C61" t="s">
        <v>154</v>
      </c>
      <c r="D61" t="s">
        <v>154</v>
      </c>
      <c r="E61" t="s">
        <v>104</v>
      </c>
      <c r="F61" t="s">
        <v>41</v>
      </c>
      <c r="G61" t="s">
        <v>48</v>
      </c>
      <c r="H61" t="s">
        <v>24</v>
      </c>
      <c r="I61" t="s">
        <v>48</v>
      </c>
      <c r="J61" t="s">
        <v>25</v>
      </c>
      <c r="K61">
        <v>199</v>
      </c>
      <c r="L61">
        <v>3</v>
      </c>
      <c r="M61">
        <v>205</v>
      </c>
      <c r="N61">
        <v>0</v>
      </c>
      <c r="O61" t="s">
        <v>26</v>
      </c>
      <c r="P61" t="s">
        <v>48</v>
      </c>
      <c r="R61">
        <v>10</v>
      </c>
      <c r="S61">
        <v>6</v>
      </c>
      <c r="T61" t="s">
        <v>61</v>
      </c>
      <c r="U61" t="s">
        <v>61</v>
      </c>
      <c r="V61">
        <v>108</v>
      </c>
      <c r="W61">
        <v>1900</v>
      </c>
      <c r="X61" t="s">
        <v>193</v>
      </c>
    </row>
    <row r="62" spans="1:24" x14ac:dyDescent="0.3">
      <c r="A62">
        <v>61</v>
      </c>
      <c r="B62" t="s">
        <v>157</v>
      </c>
      <c r="C62" t="s">
        <v>157</v>
      </c>
      <c r="D62" t="s">
        <v>157</v>
      </c>
      <c r="E62" t="s">
        <v>71</v>
      </c>
      <c r="F62" t="s">
        <v>42</v>
      </c>
      <c r="G62" t="s">
        <v>31</v>
      </c>
      <c r="H62" t="s">
        <v>24</v>
      </c>
      <c r="I62" t="s">
        <v>31</v>
      </c>
      <c r="J62" t="s">
        <v>25</v>
      </c>
      <c r="K62">
        <v>205</v>
      </c>
      <c r="L62">
        <v>7</v>
      </c>
      <c r="M62">
        <v>206</v>
      </c>
      <c r="N62">
        <v>4</v>
      </c>
      <c r="O62" t="s">
        <v>26</v>
      </c>
      <c r="P62" t="s">
        <v>31</v>
      </c>
      <c r="R62">
        <v>6</v>
      </c>
      <c r="S62">
        <v>10</v>
      </c>
      <c r="T62" t="s">
        <v>99</v>
      </c>
      <c r="U62" t="s">
        <v>158</v>
      </c>
      <c r="V62">
        <v>65</v>
      </c>
      <c r="W62">
        <v>1900</v>
      </c>
      <c r="X62" t="s">
        <v>194</v>
      </c>
    </row>
    <row r="63" spans="1:24" x14ac:dyDescent="0.3">
      <c r="A63">
        <v>62</v>
      </c>
      <c r="B63" t="s">
        <v>159</v>
      </c>
      <c r="C63" t="s">
        <v>159</v>
      </c>
      <c r="D63" t="s">
        <v>159</v>
      </c>
      <c r="E63" t="s">
        <v>104</v>
      </c>
      <c r="F63" t="s">
        <v>35</v>
      </c>
      <c r="G63" t="s">
        <v>32</v>
      </c>
      <c r="H63" t="s">
        <v>24</v>
      </c>
      <c r="I63" t="s">
        <v>32</v>
      </c>
      <c r="J63" t="s">
        <v>25</v>
      </c>
      <c r="K63">
        <v>187</v>
      </c>
      <c r="L63">
        <v>8</v>
      </c>
      <c r="M63">
        <v>188</v>
      </c>
      <c r="N63">
        <v>4</v>
      </c>
      <c r="O63" t="s">
        <v>26</v>
      </c>
      <c r="P63" t="s">
        <v>32</v>
      </c>
      <c r="R63">
        <v>6</v>
      </c>
      <c r="S63">
        <v>17</v>
      </c>
      <c r="T63" t="s">
        <v>160</v>
      </c>
      <c r="U63" t="s">
        <v>135</v>
      </c>
      <c r="V63">
        <v>57</v>
      </c>
      <c r="W63">
        <v>1900</v>
      </c>
      <c r="X63" t="s">
        <v>194</v>
      </c>
    </row>
    <row r="64" spans="1:24" x14ac:dyDescent="0.3">
      <c r="A64">
        <v>63</v>
      </c>
      <c r="B64" t="s">
        <v>161</v>
      </c>
      <c r="C64" t="s">
        <v>161</v>
      </c>
      <c r="D64" t="s">
        <v>161</v>
      </c>
      <c r="E64" t="s">
        <v>67</v>
      </c>
      <c r="F64" t="s">
        <v>36</v>
      </c>
      <c r="G64" t="s">
        <v>41</v>
      </c>
      <c r="H64" t="s">
        <v>24</v>
      </c>
      <c r="I64" t="s">
        <v>41</v>
      </c>
      <c r="J64" t="s">
        <v>25</v>
      </c>
      <c r="K64">
        <v>180</v>
      </c>
      <c r="L64">
        <v>5</v>
      </c>
      <c r="M64">
        <v>121</v>
      </c>
      <c r="N64">
        <v>10</v>
      </c>
      <c r="O64" t="s">
        <v>26</v>
      </c>
      <c r="P64" t="s">
        <v>36</v>
      </c>
      <c r="Q64">
        <v>59</v>
      </c>
      <c r="S64">
        <v>10</v>
      </c>
      <c r="T64" t="s">
        <v>82</v>
      </c>
      <c r="U64" t="s">
        <v>82</v>
      </c>
      <c r="V64">
        <v>73</v>
      </c>
      <c r="W64">
        <v>1900</v>
      </c>
      <c r="X64" t="s">
        <v>194</v>
      </c>
    </row>
    <row r="65" spans="1:24" x14ac:dyDescent="0.3">
      <c r="A65">
        <v>64</v>
      </c>
      <c r="B65" t="s">
        <v>162</v>
      </c>
      <c r="C65" t="s">
        <v>162</v>
      </c>
      <c r="D65" t="s">
        <v>162</v>
      </c>
      <c r="E65" t="s">
        <v>47</v>
      </c>
      <c r="F65" t="s">
        <v>48</v>
      </c>
      <c r="G65" t="s">
        <v>42</v>
      </c>
      <c r="H65" t="s">
        <v>24</v>
      </c>
      <c r="I65" t="s">
        <v>48</v>
      </c>
      <c r="J65" t="s">
        <v>25</v>
      </c>
      <c r="K65">
        <v>235</v>
      </c>
      <c r="L65">
        <v>2</v>
      </c>
      <c r="M65">
        <v>202</v>
      </c>
      <c r="N65">
        <v>9</v>
      </c>
      <c r="O65" t="s">
        <v>26</v>
      </c>
      <c r="P65" t="s">
        <v>42</v>
      </c>
      <c r="Q65">
        <v>33</v>
      </c>
      <c r="S65">
        <v>0</v>
      </c>
      <c r="T65" t="s">
        <v>158</v>
      </c>
      <c r="U65" t="s">
        <v>158</v>
      </c>
      <c r="V65">
        <v>117</v>
      </c>
      <c r="W65">
        <v>1900</v>
      </c>
      <c r="X65" t="s">
        <v>194</v>
      </c>
    </row>
    <row r="66" spans="1:24" x14ac:dyDescent="0.3">
      <c r="A66">
        <v>65</v>
      </c>
      <c r="B66" t="s">
        <v>163</v>
      </c>
      <c r="C66" t="s">
        <v>163</v>
      </c>
      <c r="D66" t="s">
        <v>163</v>
      </c>
      <c r="E66" t="s">
        <v>71</v>
      </c>
      <c r="F66" t="s">
        <v>23</v>
      </c>
      <c r="G66" t="s">
        <v>31</v>
      </c>
      <c r="H66" t="s">
        <v>24</v>
      </c>
      <c r="I66" t="s">
        <v>23</v>
      </c>
      <c r="J66" t="s">
        <v>25</v>
      </c>
      <c r="K66">
        <v>231</v>
      </c>
      <c r="L66">
        <v>6</v>
      </c>
      <c r="M66">
        <v>189</v>
      </c>
      <c r="N66">
        <v>10</v>
      </c>
      <c r="O66" t="s">
        <v>26</v>
      </c>
      <c r="P66" t="s">
        <v>31</v>
      </c>
      <c r="Q66">
        <v>42</v>
      </c>
      <c r="S66">
        <v>1</v>
      </c>
      <c r="T66" t="s">
        <v>33</v>
      </c>
      <c r="U66" t="s">
        <v>33</v>
      </c>
      <c r="V66">
        <v>94</v>
      </c>
      <c r="W66">
        <v>1900</v>
      </c>
      <c r="X66" t="s">
        <v>194</v>
      </c>
    </row>
    <row r="67" spans="1:24" x14ac:dyDescent="0.3">
      <c r="A67">
        <v>66</v>
      </c>
      <c r="B67" t="s">
        <v>164</v>
      </c>
      <c r="C67" t="s">
        <v>164</v>
      </c>
      <c r="D67" t="s">
        <v>164</v>
      </c>
      <c r="E67" t="s">
        <v>102</v>
      </c>
      <c r="F67" t="s">
        <v>49</v>
      </c>
      <c r="G67" t="s">
        <v>41</v>
      </c>
      <c r="H67" t="s">
        <v>24</v>
      </c>
      <c r="I67" t="s">
        <v>41</v>
      </c>
      <c r="J67" t="s">
        <v>25</v>
      </c>
      <c r="K67">
        <v>206</v>
      </c>
      <c r="L67">
        <v>8</v>
      </c>
      <c r="M67">
        <v>208</v>
      </c>
      <c r="N67">
        <v>4</v>
      </c>
      <c r="O67" t="s">
        <v>26</v>
      </c>
      <c r="P67" t="s">
        <v>41</v>
      </c>
      <c r="R67">
        <v>6</v>
      </c>
      <c r="S67">
        <v>3</v>
      </c>
      <c r="T67" t="s">
        <v>165</v>
      </c>
      <c r="U67" t="s">
        <v>165</v>
      </c>
      <c r="V67">
        <v>58</v>
      </c>
      <c r="W67">
        <v>1900</v>
      </c>
      <c r="X67" t="s">
        <v>194</v>
      </c>
    </row>
    <row r="68" spans="1:24" x14ac:dyDescent="0.3">
      <c r="A68">
        <v>67</v>
      </c>
      <c r="B68" t="s">
        <v>166</v>
      </c>
      <c r="C68" t="s">
        <v>166</v>
      </c>
      <c r="D68" t="s">
        <v>166</v>
      </c>
      <c r="E68" t="s">
        <v>47</v>
      </c>
      <c r="F68" t="s">
        <v>48</v>
      </c>
      <c r="G68" t="s">
        <v>35</v>
      </c>
      <c r="H68" t="s">
        <v>24</v>
      </c>
      <c r="I68" t="s">
        <v>35</v>
      </c>
      <c r="J68" t="s">
        <v>63</v>
      </c>
      <c r="K68">
        <v>230</v>
      </c>
      <c r="L68">
        <v>5</v>
      </c>
      <c r="M68">
        <v>147</v>
      </c>
      <c r="N68">
        <v>10</v>
      </c>
      <c r="O68" t="s">
        <v>26</v>
      </c>
      <c r="P68" t="s">
        <v>35</v>
      </c>
      <c r="Q68">
        <v>83</v>
      </c>
      <c r="S68">
        <v>9</v>
      </c>
      <c r="T68" t="s">
        <v>152</v>
      </c>
      <c r="U68" t="s">
        <v>152</v>
      </c>
      <c r="V68">
        <v>57</v>
      </c>
      <c r="W68">
        <v>1900</v>
      </c>
      <c r="X68" t="s">
        <v>194</v>
      </c>
    </row>
    <row r="69" spans="1:24" x14ac:dyDescent="0.3">
      <c r="A69">
        <v>68</v>
      </c>
      <c r="B69" t="s">
        <v>166</v>
      </c>
      <c r="C69" t="s">
        <v>166</v>
      </c>
      <c r="D69" t="s">
        <v>166</v>
      </c>
      <c r="E69" t="s">
        <v>104</v>
      </c>
      <c r="F69" t="s">
        <v>22</v>
      </c>
      <c r="G69" t="s">
        <v>31</v>
      </c>
      <c r="H69" t="s">
        <v>24</v>
      </c>
      <c r="I69" t="s">
        <v>31</v>
      </c>
      <c r="J69" t="s">
        <v>63</v>
      </c>
      <c r="K69">
        <v>278</v>
      </c>
      <c r="L69">
        <v>3</v>
      </c>
      <c r="M69">
        <v>168</v>
      </c>
      <c r="N69">
        <v>10</v>
      </c>
      <c r="O69" t="s">
        <v>26</v>
      </c>
      <c r="P69" t="s">
        <v>31</v>
      </c>
      <c r="Q69">
        <v>110</v>
      </c>
      <c r="S69">
        <v>8</v>
      </c>
      <c r="T69" t="s">
        <v>128</v>
      </c>
      <c r="U69" t="s">
        <v>128</v>
      </c>
      <c r="V69">
        <v>105</v>
      </c>
      <c r="W69">
        <v>1900</v>
      </c>
      <c r="X69" t="s">
        <v>194</v>
      </c>
    </row>
    <row r="70" spans="1:24" x14ac:dyDescent="0.3">
      <c r="A70">
        <v>69</v>
      </c>
      <c r="B70" t="s">
        <v>167</v>
      </c>
      <c r="C70" t="s">
        <v>167</v>
      </c>
      <c r="D70" t="s">
        <v>167</v>
      </c>
      <c r="E70" t="s">
        <v>102</v>
      </c>
      <c r="F70" t="s">
        <v>49</v>
      </c>
      <c r="G70" t="s">
        <v>36</v>
      </c>
      <c r="H70" t="s">
        <v>24</v>
      </c>
      <c r="I70" t="s">
        <v>49</v>
      </c>
      <c r="J70" t="s">
        <v>25</v>
      </c>
      <c r="K70">
        <v>184</v>
      </c>
      <c r="L70">
        <v>7</v>
      </c>
      <c r="M70">
        <v>187</v>
      </c>
      <c r="N70">
        <v>3</v>
      </c>
      <c r="O70" t="s">
        <v>26</v>
      </c>
      <c r="P70" t="s">
        <v>49</v>
      </c>
      <c r="R70">
        <v>7</v>
      </c>
      <c r="S70">
        <v>9</v>
      </c>
      <c r="T70" t="s">
        <v>168</v>
      </c>
      <c r="U70" t="s">
        <v>168</v>
      </c>
      <c r="V70">
        <v>73</v>
      </c>
      <c r="W70">
        <v>1900</v>
      </c>
      <c r="X70" t="s">
        <v>194</v>
      </c>
    </row>
    <row r="71" spans="1:24" x14ac:dyDescent="0.3">
      <c r="A71">
        <v>70</v>
      </c>
      <c r="B71" t="s">
        <v>169</v>
      </c>
      <c r="C71" t="s">
        <v>169</v>
      </c>
      <c r="D71" t="s">
        <v>169</v>
      </c>
      <c r="E71" t="s">
        <v>71</v>
      </c>
      <c r="F71" t="s">
        <v>42</v>
      </c>
      <c r="G71" t="s">
        <v>23</v>
      </c>
      <c r="H71" t="s">
        <v>24</v>
      </c>
      <c r="I71" t="s">
        <v>23</v>
      </c>
      <c r="J71" t="s">
        <v>25</v>
      </c>
      <c r="K71">
        <v>227</v>
      </c>
      <c r="L71">
        <v>3</v>
      </c>
      <c r="M71">
        <v>230</v>
      </c>
      <c r="N71">
        <v>4</v>
      </c>
      <c r="O71" t="s">
        <v>26</v>
      </c>
      <c r="P71" t="s">
        <v>23</v>
      </c>
      <c r="R71">
        <v>6</v>
      </c>
      <c r="S71">
        <v>8</v>
      </c>
      <c r="T71" t="s">
        <v>170</v>
      </c>
      <c r="U71" t="s">
        <v>109</v>
      </c>
      <c r="V71">
        <v>118</v>
      </c>
      <c r="W71">
        <v>1900</v>
      </c>
      <c r="X71" t="s">
        <v>194</v>
      </c>
    </row>
    <row r="72" spans="1:24" x14ac:dyDescent="0.3">
      <c r="A72">
        <v>71</v>
      </c>
      <c r="B72" t="s">
        <v>171</v>
      </c>
      <c r="C72" t="s">
        <v>171</v>
      </c>
      <c r="D72" t="s">
        <v>171</v>
      </c>
      <c r="E72" t="s">
        <v>85</v>
      </c>
      <c r="F72" t="s">
        <v>49</v>
      </c>
      <c r="G72" t="s">
        <v>23</v>
      </c>
      <c r="H72" t="s">
        <v>172</v>
      </c>
      <c r="I72" t="s">
        <v>23</v>
      </c>
      <c r="J72" t="s">
        <v>25</v>
      </c>
      <c r="K72">
        <v>101</v>
      </c>
      <c r="L72">
        <v>10</v>
      </c>
      <c r="M72">
        <v>106</v>
      </c>
      <c r="N72">
        <v>2</v>
      </c>
      <c r="O72" t="s">
        <v>26</v>
      </c>
      <c r="P72" t="s">
        <v>23</v>
      </c>
      <c r="R72">
        <v>8</v>
      </c>
      <c r="S72">
        <v>60</v>
      </c>
      <c r="T72" t="s">
        <v>173</v>
      </c>
      <c r="U72" t="s">
        <v>103</v>
      </c>
      <c r="V72">
        <v>56</v>
      </c>
      <c r="W72">
        <v>1900</v>
      </c>
      <c r="X72" t="s">
        <v>194</v>
      </c>
    </row>
    <row r="73" spans="1:24" x14ac:dyDescent="0.3">
      <c r="A73">
        <v>72</v>
      </c>
      <c r="B73" t="s">
        <v>174</v>
      </c>
      <c r="C73" t="s">
        <v>174</v>
      </c>
      <c r="D73" t="s">
        <v>174</v>
      </c>
      <c r="E73" t="s">
        <v>85</v>
      </c>
      <c r="F73" t="s">
        <v>48</v>
      </c>
      <c r="G73" t="s">
        <v>36</v>
      </c>
      <c r="H73" t="s">
        <v>172</v>
      </c>
      <c r="I73" t="s">
        <v>36</v>
      </c>
      <c r="J73" t="s">
        <v>63</v>
      </c>
      <c r="K73">
        <v>228</v>
      </c>
      <c r="L73">
        <v>5</v>
      </c>
      <c r="M73">
        <v>208</v>
      </c>
      <c r="N73">
        <v>6</v>
      </c>
      <c r="O73" t="s">
        <v>26</v>
      </c>
      <c r="P73" t="s">
        <v>36</v>
      </c>
      <c r="Q73">
        <v>20</v>
      </c>
      <c r="S73">
        <v>0</v>
      </c>
      <c r="T73" t="s">
        <v>122</v>
      </c>
      <c r="U73" t="s">
        <v>122</v>
      </c>
      <c r="V73">
        <v>81</v>
      </c>
      <c r="W73">
        <v>1900</v>
      </c>
      <c r="X73" t="s">
        <v>194</v>
      </c>
    </row>
    <row r="74" spans="1:24" x14ac:dyDescent="0.3">
      <c r="A74">
        <v>73</v>
      </c>
      <c r="B74" t="s">
        <v>175</v>
      </c>
      <c r="C74" t="s">
        <v>175</v>
      </c>
      <c r="D74" t="s">
        <v>175</v>
      </c>
      <c r="E74" t="s">
        <v>47</v>
      </c>
      <c r="F74" t="s">
        <v>49</v>
      </c>
      <c r="G74" t="s">
        <v>36</v>
      </c>
      <c r="H74" t="s">
        <v>172</v>
      </c>
      <c r="I74" t="s">
        <v>49</v>
      </c>
      <c r="J74" t="s">
        <v>25</v>
      </c>
      <c r="K74">
        <v>203</v>
      </c>
      <c r="L74">
        <v>6</v>
      </c>
      <c r="M74">
        <v>207</v>
      </c>
      <c r="N74">
        <v>5</v>
      </c>
      <c r="O74" t="s">
        <v>26</v>
      </c>
      <c r="P74" t="s">
        <v>49</v>
      </c>
      <c r="R74">
        <v>5</v>
      </c>
      <c r="S74">
        <v>6</v>
      </c>
      <c r="T74" t="s">
        <v>50</v>
      </c>
      <c r="U74" t="s">
        <v>50</v>
      </c>
      <c r="V74">
        <v>87</v>
      </c>
      <c r="W74">
        <v>1900</v>
      </c>
      <c r="X74" t="s">
        <v>194</v>
      </c>
    </row>
    <row r="75" spans="1:24" x14ac:dyDescent="0.3">
      <c r="A75">
        <v>74</v>
      </c>
      <c r="B75" t="s">
        <v>176</v>
      </c>
      <c r="C75" t="s">
        <v>176</v>
      </c>
      <c r="D75" t="s">
        <v>176</v>
      </c>
      <c r="E75" t="s">
        <v>47</v>
      </c>
      <c r="F75" t="s">
        <v>23</v>
      </c>
      <c r="G75" t="s">
        <v>49</v>
      </c>
      <c r="H75" t="s">
        <v>177</v>
      </c>
      <c r="I75" t="s">
        <v>49</v>
      </c>
      <c r="J75" t="s">
        <v>25</v>
      </c>
      <c r="K75">
        <v>190</v>
      </c>
      <c r="L75">
        <v>9</v>
      </c>
      <c r="M75">
        <v>184</v>
      </c>
      <c r="N75">
        <v>7</v>
      </c>
      <c r="O75" t="s">
        <v>26</v>
      </c>
      <c r="P75" t="s">
        <v>23</v>
      </c>
      <c r="Q75">
        <v>6</v>
      </c>
      <c r="S75">
        <v>0</v>
      </c>
      <c r="T75" t="s">
        <v>27</v>
      </c>
      <c r="U75" t="s">
        <v>178</v>
      </c>
      <c r="V75">
        <v>61</v>
      </c>
      <c r="W75">
        <v>1900</v>
      </c>
      <c r="X75" t="s">
        <v>194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B443-D4F8-4131-B1F1-B890082FDEF7}">
  <sheetPr codeName="Sheet5"/>
  <dimension ref="A1:X75"/>
  <sheetViews>
    <sheetView topLeftCell="A52" workbookViewId="0">
      <selection activeCell="K2" sqref="K2:K76"/>
    </sheetView>
  </sheetViews>
  <sheetFormatPr defaultRowHeight="14.4" x14ac:dyDescent="0.3"/>
  <cols>
    <col min="1" max="1" width="10.6640625" customWidth="1"/>
    <col min="2" max="2" width="13.109375" customWidth="1"/>
    <col min="3" max="3" width="11.6640625" customWidth="1"/>
    <col min="9" max="9" width="12.6640625" customWidth="1"/>
    <col min="10" max="10" width="14.21875" customWidth="1"/>
    <col min="11" max="11" width="15.6640625" customWidth="1"/>
    <col min="12" max="12" width="15" customWidth="1"/>
    <col min="13" max="13" width="18.33203125" customWidth="1"/>
    <col min="14" max="14" width="17.6640625" customWidth="1"/>
    <col min="15" max="15" width="13.77734375" customWidth="1"/>
    <col min="16" max="16" width="14.5546875" customWidth="1"/>
    <col min="17" max="17" width="9.6640625" customWidth="1"/>
    <col min="18" max="18" width="12.5546875" customWidth="1"/>
    <col min="19" max="19" width="10.5546875" customWidth="1"/>
    <col min="20" max="20" width="20" customWidth="1"/>
    <col min="21" max="21" width="11.6640625" customWidth="1"/>
    <col min="22" max="22" width="10.88671875" customWidth="1"/>
    <col min="23" max="23" width="12.6640625" customWidth="1"/>
    <col min="24" max="24" width="13.109375" customWidth="1"/>
  </cols>
  <sheetData>
    <row r="1" spans="1:24" x14ac:dyDescent="0.3">
      <c r="A1" t="s">
        <v>0</v>
      </c>
      <c r="B1" t="s">
        <v>179</v>
      </c>
      <c r="C1" t="s">
        <v>180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189</v>
      </c>
      <c r="X1" t="s">
        <v>190</v>
      </c>
    </row>
    <row r="2" spans="1:24" x14ac:dyDescent="0.3">
      <c r="A2">
        <v>1</v>
      </c>
      <c r="B2" t="s">
        <v>20</v>
      </c>
      <c r="C2" t="s">
        <v>20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23</v>
      </c>
      <c r="J2" t="s">
        <v>25</v>
      </c>
      <c r="K2">
        <v>174</v>
      </c>
      <c r="L2">
        <v>8</v>
      </c>
      <c r="M2">
        <v>177</v>
      </c>
      <c r="N2">
        <v>3</v>
      </c>
      <c r="O2" t="s">
        <v>26</v>
      </c>
      <c r="P2" t="s">
        <v>23</v>
      </c>
      <c r="R2">
        <v>7</v>
      </c>
      <c r="S2">
        <v>22</v>
      </c>
      <c r="T2" t="s">
        <v>27</v>
      </c>
      <c r="U2" t="s">
        <v>28</v>
      </c>
      <c r="V2">
        <v>59</v>
      </c>
      <c r="W2">
        <v>1899</v>
      </c>
      <c r="X2" t="s">
        <v>191</v>
      </c>
    </row>
    <row r="3" spans="1:24" x14ac:dyDescent="0.3">
      <c r="A3">
        <v>2</v>
      </c>
      <c r="B3" t="s">
        <v>29</v>
      </c>
      <c r="C3" t="s">
        <v>29</v>
      </c>
      <c r="D3" t="s">
        <v>29</v>
      </c>
      <c r="E3" t="s">
        <v>30</v>
      </c>
      <c r="F3" t="s">
        <v>31</v>
      </c>
      <c r="G3" t="s">
        <v>32</v>
      </c>
      <c r="H3" t="s">
        <v>24</v>
      </c>
      <c r="I3" t="s">
        <v>32</v>
      </c>
      <c r="J3" t="s">
        <v>25</v>
      </c>
      <c r="K3">
        <v>286</v>
      </c>
      <c r="L3">
        <v>6</v>
      </c>
      <c r="M3">
        <v>242</v>
      </c>
      <c r="N3">
        <v>6</v>
      </c>
      <c r="O3" t="s">
        <v>26</v>
      </c>
      <c r="P3" t="s">
        <v>31</v>
      </c>
      <c r="Q3">
        <v>44</v>
      </c>
      <c r="S3">
        <v>0</v>
      </c>
      <c r="T3" t="s">
        <v>33</v>
      </c>
      <c r="U3" t="s">
        <v>33</v>
      </c>
      <c r="V3">
        <v>106</v>
      </c>
      <c r="W3">
        <v>1900</v>
      </c>
      <c r="X3" t="s">
        <v>192</v>
      </c>
    </row>
    <row r="4" spans="1:24" x14ac:dyDescent="0.3">
      <c r="A4">
        <v>3</v>
      </c>
      <c r="B4" t="s">
        <v>29</v>
      </c>
      <c r="C4" t="s">
        <v>29</v>
      </c>
      <c r="D4" t="s">
        <v>29</v>
      </c>
      <c r="E4" t="s">
        <v>34</v>
      </c>
      <c r="F4" t="s">
        <v>35</v>
      </c>
      <c r="G4" t="s">
        <v>36</v>
      </c>
      <c r="H4" t="s">
        <v>24</v>
      </c>
      <c r="I4" t="s">
        <v>35</v>
      </c>
      <c r="J4" t="s">
        <v>25</v>
      </c>
      <c r="K4">
        <v>155</v>
      </c>
      <c r="L4">
        <v>9</v>
      </c>
      <c r="M4">
        <v>158</v>
      </c>
      <c r="N4">
        <v>6</v>
      </c>
      <c r="O4" t="s">
        <v>26</v>
      </c>
      <c r="P4" t="s">
        <v>35</v>
      </c>
      <c r="R4">
        <v>4</v>
      </c>
      <c r="S4">
        <v>5</v>
      </c>
      <c r="T4" t="s">
        <v>37</v>
      </c>
      <c r="U4" t="s">
        <v>38</v>
      </c>
      <c r="V4">
        <v>65</v>
      </c>
      <c r="W4">
        <v>1900</v>
      </c>
      <c r="X4" t="s">
        <v>192</v>
      </c>
    </row>
    <row r="5" spans="1:24" x14ac:dyDescent="0.3">
      <c r="A5">
        <v>4</v>
      </c>
      <c r="B5" t="s">
        <v>39</v>
      </c>
      <c r="C5" t="s">
        <v>39</v>
      </c>
      <c r="D5" t="s">
        <v>39</v>
      </c>
      <c r="E5" t="s">
        <v>40</v>
      </c>
      <c r="F5" t="s">
        <v>41</v>
      </c>
      <c r="G5" t="s">
        <v>42</v>
      </c>
      <c r="H5" t="s">
        <v>24</v>
      </c>
      <c r="I5" t="s">
        <v>41</v>
      </c>
      <c r="J5" t="s">
        <v>25</v>
      </c>
      <c r="K5">
        <v>209</v>
      </c>
      <c r="L5">
        <v>8</v>
      </c>
      <c r="M5">
        <v>211</v>
      </c>
      <c r="N5">
        <v>9</v>
      </c>
      <c r="O5" t="s">
        <v>26</v>
      </c>
      <c r="P5" t="s">
        <v>41</v>
      </c>
      <c r="R5">
        <v>1</v>
      </c>
      <c r="S5">
        <v>3</v>
      </c>
      <c r="T5" t="s">
        <v>43</v>
      </c>
      <c r="U5" t="s">
        <v>44</v>
      </c>
      <c r="V5">
        <v>75</v>
      </c>
      <c r="W5">
        <v>1900</v>
      </c>
      <c r="X5" t="s">
        <v>192</v>
      </c>
    </row>
    <row r="6" spans="1:24" x14ac:dyDescent="0.3">
      <c r="A6">
        <v>5</v>
      </c>
      <c r="B6" t="s">
        <v>46</v>
      </c>
      <c r="C6" t="s">
        <v>46</v>
      </c>
      <c r="D6" t="s">
        <v>46</v>
      </c>
      <c r="E6" t="s">
        <v>47</v>
      </c>
      <c r="F6" t="s">
        <v>48</v>
      </c>
      <c r="G6" t="s">
        <v>49</v>
      </c>
      <c r="H6" t="s">
        <v>24</v>
      </c>
      <c r="I6" t="s">
        <v>48</v>
      </c>
      <c r="J6" t="s">
        <v>25</v>
      </c>
      <c r="K6">
        <v>243</v>
      </c>
      <c r="L6">
        <v>5</v>
      </c>
      <c r="M6">
        <v>232</v>
      </c>
      <c r="N6">
        <v>5</v>
      </c>
      <c r="O6" t="s">
        <v>26</v>
      </c>
      <c r="P6" t="s">
        <v>49</v>
      </c>
      <c r="Q6">
        <v>11</v>
      </c>
      <c r="S6">
        <v>0</v>
      </c>
      <c r="T6" t="s">
        <v>50</v>
      </c>
      <c r="U6" t="s">
        <v>50</v>
      </c>
      <c r="V6">
        <v>97</v>
      </c>
      <c r="W6">
        <v>1900</v>
      </c>
      <c r="X6" t="s">
        <v>192</v>
      </c>
    </row>
    <row r="7" spans="1:24" x14ac:dyDescent="0.3">
      <c r="A7">
        <v>6</v>
      </c>
      <c r="B7" t="s">
        <v>51</v>
      </c>
      <c r="C7" t="s">
        <v>51</v>
      </c>
      <c r="D7" t="s">
        <v>51</v>
      </c>
      <c r="E7" t="s">
        <v>52</v>
      </c>
      <c r="F7" t="s">
        <v>32</v>
      </c>
      <c r="G7" t="s">
        <v>22</v>
      </c>
      <c r="H7" t="s">
        <v>24</v>
      </c>
      <c r="I7" t="s">
        <v>22</v>
      </c>
      <c r="J7" t="s">
        <v>25</v>
      </c>
      <c r="K7">
        <v>151</v>
      </c>
      <c r="L7">
        <v>9</v>
      </c>
      <c r="M7">
        <v>153</v>
      </c>
      <c r="N7">
        <v>2</v>
      </c>
      <c r="O7" t="s">
        <v>26</v>
      </c>
      <c r="P7" t="s">
        <v>22</v>
      </c>
      <c r="R7">
        <v>8</v>
      </c>
      <c r="S7">
        <v>15</v>
      </c>
      <c r="T7" t="s">
        <v>53</v>
      </c>
      <c r="U7" t="s">
        <v>53</v>
      </c>
      <c r="V7">
        <v>97</v>
      </c>
      <c r="W7">
        <v>1900</v>
      </c>
      <c r="X7" t="s">
        <v>192</v>
      </c>
    </row>
    <row r="8" spans="1:24" x14ac:dyDescent="0.3">
      <c r="A8">
        <v>7</v>
      </c>
      <c r="B8" t="s">
        <v>54</v>
      </c>
      <c r="C8" t="s">
        <v>54</v>
      </c>
      <c r="D8" t="s">
        <v>54</v>
      </c>
      <c r="E8" t="s">
        <v>30</v>
      </c>
      <c r="F8" t="s">
        <v>31</v>
      </c>
      <c r="G8" t="s">
        <v>42</v>
      </c>
      <c r="H8" t="s">
        <v>24</v>
      </c>
      <c r="I8" t="s">
        <v>42</v>
      </c>
      <c r="J8" t="s">
        <v>25</v>
      </c>
      <c r="K8">
        <v>190</v>
      </c>
      <c r="L8">
        <v>9</v>
      </c>
      <c r="M8">
        <v>193</v>
      </c>
      <c r="N8">
        <v>5</v>
      </c>
      <c r="O8" t="s">
        <v>26</v>
      </c>
      <c r="P8" t="s">
        <v>42</v>
      </c>
      <c r="R8">
        <v>5</v>
      </c>
      <c r="S8">
        <v>23</v>
      </c>
      <c r="T8" t="s">
        <v>55</v>
      </c>
      <c r="U8" t="s">
        <v>44</v>
      </c>
      <c r="V8">
        <v>70</v>
      </c>
      <c r="W8">
        <v>1900</v>
      </c>
      <c r="X8" t="s">
        <v>192</v>
      </c>
    </row>
    <row r="9" spans="1:24" x14ac:dyDescent="0.3">
      <c r="A9">
        <v>8</v>
      </c>
      <c r="B9" t="s">
        <v>56</v>
      </c>
      <c r="C9" t="s">
        <v>56</v>
      </c>
      <c r="D9" t="s">
        <v>56</v>
      </c>
      <c r="E9" t="s">
        <v>34</v>
      </c>
      <c r="F9" t="s">
        <v>35</v>
      </c>
      <c r="G9" t="s">
        <v>23</v>
      </c>
      <c r="H9" t="s">
        <v>24</v>
      </c>
      <c r="I9" t="s">
        <v>35</v>
      </c>
      <c r="J9" t="s">
        <v>25</v>
      </c>
      <c r="K9">
        <v>196</v>
      </c>
      <c r="L9">
        <v>7</v>
      </c>
      <c r="M9">
        <v>146</v>
      </c>
      <c r="N9">
        <v>8</v>
      </c>
      <c r="O9" t="s">
        <v>26</v>
      </c>
      <c r="P9" t="s">
        <v>23</v>
      </c>
      <c r="Q9">
        <v>50</v>
      </c>
      <c r="S9">
        <v>0</v>
      </c>
      <c r="T9" t="s">
        <v>57</v>
      </c>
      <c r="U9" t="s">
        <v>57</v>
      </c>
      <c r="V9">
        <v>51</v>
      </c>
      <c r="W9">
        <v>1900</v>
      </c>
      <c r="X9" t="s">
        <v>192</v>
      </c>
    </row>
    <row r="10" spans="1:24" x14ac:dyDescent="0.3">
      <c r="A10">
        <v>9</v>
      </c>
      <c r="B10" t="s">
        <v>59</v>
      </c>
      <c r="C10" t="s">
        <v>59</v>
      </c>
      <c r="D10" t="s">
        <v>59</v>
      </c>
      <c r="E10" t="s">
        <v>47</v>
      </c>
      <c r="F10" t="s">
        <v>48</v>
      </c>
      <c r="G10" t="s">
        <v>36</v>
      </c>
      <c r="H10" t="s">
        <v>24</v>
      </c>
      <c r="I10" t="s">
        <v>36</v>
      </c>
      <c r="J10" t="s">
        <v>25</v>
      </c>
      <c r="K10">
        <v>196</v>
      </c>
      <c r="L10">
        <v>8</v>
      </c>
      <c r="M10">
        <v>160</v>
      </c>
      <c r="N10">
        <v>6</v>
      </c>
      <c r="O10" t="s">
        <v>26</v>
      </c>
      <c r="P10" t="s">
        <v>48</v>
      </c>
      <c r="Q10">
        <v>36</v>
      </c>
      <c r="S10">
        <v>0</v>
      </c>
      <c r="T10" t="s">
        <v>60</v>
      </c>
      <c r="U10" t="s">
        <v>61</v>
      </c>
      <c r="V10">
        <v>63</v>
      </c>
      <c r="W10">
        <v>1900</v>
      </c>
      <c r="X10" t="s">
        <v>192</v>
      </c>
    </row>
    <row r="11" spans="1:24" x14ac:dyDescent="0.3">
      <c r="A11">
        <v>10</v>
      </c>
      <c r="B11" t="s">
        <v>62</v>
      </c>
      <c r="C11" t="s">
        <v>62</v>
      </c>
      <c r="D11" t="s">
        <v>62</v>
      </c>
      <c r="E11" t="s">
        <v>40</v>
      </c>
      <c r="F11" t="s">
        <v>41</v>
      </c>
      <c r="G11" t="s">
        <v>31</v>
      </c>
      <c r="H11" t="s">
        <v>24</v>
      </c>
      <c r="I11" t="s">
        <v>31</v>
      </c>
      <c r="J11" t="s">
        <v>63</v>
      </c>
      <c r="K11">
        <v>163</v>
      </c>
      <c r="L11">
        <v>10</v>
      </c>
      <c r="M11">
        <v>166</v>
      </c>
      <c r="N11">
        <v>3</v>
      </c>
      <c r="O11" t="s">
        <v>26</v>
      </c>
      <c r="P11" t="s">
        <v>41</v>
      </c>
      <c r="R11">
        <v>7</v>
      </c>
      <c r="S11">
        <v>24</v>
      </c>
      <c r="T11" t="s">
        <v>45</v>
      </c>
      <c r="U11" t="s">
        <v>64</v>
      </c>
      <c r="V11">
        <v>74</v>
      </c>
      <c r="W11">
        <v>1900</v>
      </c>
      <c r="X11" t="s">
        <v>192</v>
      </c>
    </row>
    <row r="12" spans="1:24" x14ac:dyDescent="0.3">
      <c r="A12">
        <v>11</v>
      </c>
      <c r="B12" t="s">
        <v>62</v>
      </c>
      <c r="C12" t="s">
        <v>62</v>
      </c>
      <c r="D12" t="s">
        <v>62</v>
      </c>
      <c r="E12" t="s">
        <v>52</v>
      </c>
      <c r="F12" t="s">
        <v>32</v>
      </c>
      <c r="G12" t="s">
        <v>35</v>
      </c>
      <c r="H12" t="s">
        <v>24</v>
      </c>
      <c r="I12" t="s">
        <v>35</v>
      </c>
      <c r="J12" t="s">
        <v>25</v>
      </c>
      <c r="K12">
        <v>182</v>
      </c>
      <c r="L12">
        <v>9</v>
      </c>
      <c r="M12">
        <v>176</v>
      </c>
      <c r="N12">
        <v>6</v>
      </c>
      <c r="O12" t="s">
        <v>26</v>
      </c>
      <c r="P12" t="s">
        <v>32</v>
      </c>
      <c r="Q12">
        <v>6</v>
      </c>
      <c r="S12">
        <v>0</v>
      </c>
      <c r="T12" t="s">
        <v>65</v>
      </c>
      <c r="U12" t="s">
        <v>65</v>
      </c>
      <c r="V12">
        <v>81</v>
      </c>
      <c r="W12">
        <v>1900</v>
      </c>
      <c r="X12" t="s">
        <v>192</v>
      </c>
    </row>
    <row r="13" spans="1:24" x14ac:dyDescent="0.3">
      <c r="A13">
        <v>12</v>
      </c>
      <c r="B13" t="s">
        <v>66</v>
      </c>
      <c r="C13" t="s">
        <v>66</v>
      </c>
      <c r="D13" t="s">
        <v>66</v>
      </c>
      <c r="E13" t="s">
        <v>67</v>
      </c>
      <c r="F13" t="s">
        <v>36</v>
      </c>
      <c r="G13" t="s">
        <v>22</v>
      </c>
      <c r="H13" t="s">
        <v>24</v>
      </c>
      <c r="I13" t="s">
        <v>36</v>
      </c>
      <c r="J13" t="s">
        <v>25</v>
      </c>
      <c r="K13">
        <v>116</v>
      </c>
      <c r="L13">
        <v>10</v>
      </c>
      <c r="M13">
        <v>121</v>
      </c>
      <c r="N13">
        <v>2</v>
      </c>
      <c r="O13" t="s">
        <v>26</v>
      </c>
      <c r="P13" t="s">
        <v>36</v>
      </c>
      <c r="R13">
        <v>8</v>
      </c>
      <c r="S13">
        <v>43</v>
      </c>
      <c r="T13" t="s">
        <v>68</v>
      </c>
      <c r="U13" t="s">
        <v>69</v>
      </c>
      <c r="V13">
        <v>62</v>
      </c>
      <c r="W13">
        <v>1900</v>
      </c>
      <c r="X13" t="s">
        <v>192</v>
      </c>
    </row>
    <row r="14" spans="1:24" x14ac:dyDescent="0.3">
      <c r="A14">
        <v>13</v>
      </c>
      <c r="B14" t="s">
        <v>70</v>
      </c>
      <c r="C14" t="s">
        <v>70</v>
      </c>
      <c r="D14" t="s">
        <v>70</v>
      </c>
      <c r="E14" t="s">
        <v>71</v>
      </c>
      <c r="F14" t="s">
        <v>42</v>
      </c>
      <c r="G14" t="s">
        <v>49</v>
      </c>
      <c r="H14" t="s">
        <v>24</v>
      </c>
      <c r="I14" t="s">
        <v>49</v>
      </c>
      <c r="J14" t="s">
        <v>25</v>
      </c>
      <c r="K14">
        <v>171</v>
      </c>
      <c r="L14">
        <v>7</v>
      </c>
      <c r="M14">
        <v>177</v>
      </c>
      <c r="N14">
        <v>2</v>
      </c>
      <c r="O14" t="s">
        <v>26</v>
      </c>
      <c r="P14" t="s">
        <v>49</v>
      </c>
      <c r="R14">
        <v>8</v>
      </c>
      <c r="S14">
        <v>22</v>
      </c>
      <c r="T14" t="s">
        <v>72</v>
      </c>
      <c r="U14" t="s">
        <v>72</v>
      </c>
      <c r="V14">
        <v>69</v>
      </c>
      <c r="W14">
        <v>1900</v>
      </c>
      <c r="X14" t="s">
        <v>192</v>
      </c>
    </row>
    <row r="15" spans="1:24" x14ac:dyDescent="0.3">
      <c r="A15">
        <v>14</v>
      </c>
      <c r="B15" t="s">
        <v>73</v>
      </c>
      <c r="C15" t="s">
        <v>73</v>
      </c>
      <c r="D15" t="s">
        <v>73</v>
      </c>
      <c r="E15" t="s">
        <v>74</v>
      </c>
      <c r="F15" t="s">
        <v>23</v>
      </c>
      <c r="G15" t="s">
        <v>48</v>
      </c>
      <c r="H15" t="s">
        <v>24</v>
      </c>
      <c r="I15" t="s">
        <v>48</v>
      </c>
      <c r="J15" t="s">
        <v>25</v>
      </c>
      <c r="K15">
        <v>169</v>
      </c>
      <c r="L15">
        <v>8</v>
      </c>
      <c r="M15">
        <v>170</v>
      </c>
      <c r="N15">
        <v>2</v>
      </c>
      <c r="O15" t="s">
        <v>26</v>
      </c>
      <c r="P15" t="s">
        <v>48</v>
      </c>
      <c r="R15">
        <v>8</v>
      </c>
      <c r="S15">
        <v>13</v>
      </c>
      <c r="T15" t="s">
        <v>75</v>
      </c>
      <c r="U15" t="s">
        <v>76</v>
      </c>
      <c r="V15">
        <v>73</v>
      </c>
      <c r="W15">
        <v>1900</v>
      </c>
      <c r="X15" t="s">
        <v>192</v>
      </c>
    </row>
    <row r="16" spans="1:24" x14ac:dyDescent="0.3">
      <c r="A16">
        <v>15</v>
      </c>
      <c r="B16" t="s">
        <v>77</v>
      </c>
      <c r="C16" t="s">
        <v>77</v>
      </c>
      <c r="D16" t="s">
        <v>77</v>
      </c>
      <c r="E16" t="s">
        <v>21</v>
      </c>
      <c r="F16" t="s">
        <v>22</v>
      </c>
      <c r="G16" t="s">
        <v>31</v>
      </c>
      <c r="H16" t="s">
        <v>24</v>
      </c>
      <c r="I16" t="s">
        <v>31</v>
      </c>
      <c r="J16" t="s">
        <v>25</v>
      </c>
      <c r="K16">
        <v>200</v>
      </c>
      <c r="L16">
        <v>6</v>
      </c>
      <c r="M16">
        <v>120</v>
      </c>
      <c r="N16">
        <v>10</v>
      </c>
      <c r="O16" t="s">
        <v>26</v>
      </c>
      <c r="P16" t="s">
        <v>22</v>
      </c>
      <c r="Q16">
        <v>80</v>
      </c>
      <c r="S16">
        <v>20</v>
      </c>
      <c r="T16" t="s">
        <v>78</v>
      </c>
      <c r="U16" t="s">
        <v>79</v>
      </c>
      <c r="V16">
        <v>60</v>
      </c>
      <c r="W16">
        <v>1900</v>
      </c>
      <c r="X16" t="s">
        <v>192</v>
      </c>
    </row>
    <row r="17" spans="1:24" x14ac:dyDescent="0.3">
      <c r="A17">
        <v>16</v>
      </c>
      <c r="B17" t="s">
        <v>80</v>
      </c>
      <c r="C17" t="s">
        <v>80</v>
      </c>
      <c r="D17" t="s">
        <v>80</v>
      </c>
      <c r="E17" t="s">
        <v>71</v>
      </c>
      <c r="F17" t="s">
        <v>42</v>
      </c>
      <c r="G17" t="s">
        <v>36</v>
      </c>
      <c r="H17" t="s">
        <v>24</v>
      </c>
      <c r="I17" t="s">
        <v>36</v>
      </c>
      <c r="J17" t="s">
        <v>25</v>
      </c>
      <c r="K17">
        <v>203</v>
      </c>
      <c r="L17">
        <v>8</v>
      </c>
      <c r="M17">
        <v>191</v>
      </c>
      <c r="N17">
        <v>5</v>
      </c>
      <c r="O17" t="s">
        <v>26</v>
      </c>
      <c r="P17" t="s">
        <v>42</v>
      </c>
      <c r="Q17">
        <v>12</v>
      </c>
      <c r="S17">
        <v>0</v>
      </c>
      <c r="T17" t="s">
        <v>81</v>
      </c>
      <c r="U17" t="s">
        <v>82</v>
      </c>
      <c r="V17">
        <v>67</v>
      </c>
      <c r="W17">
        <v>1900</v>
      </c>
      <c r="X17" t="s">
        <v>192</v>
      </c>
    </row>
    <row r="18" spans="1:24" x14ac:dyDescent="0.3">
      <c r="A18">
        <v>17</v>
      </c>
      <c r="B18" t="s">
        <v>83</v>
      </c>
      <c r="C18" t="s">
        <v>83</v>
      </c>
      <c r="D18" t="s">
        <v>83</v>
      </c>
      <c r="E18" t="s">
        <v>34</v>
      </c>
      <c r="F18" t="s">
        <v>35</v>
      </c>
      <c r="G18" t="s">
        <v>41</v>
      </c>
      <c r="H18" t="s">
        <v>24</v>
      </c>
      <c r="I18" t="s">
        <v>41</v>
      </c>
      <c r="J18" t="s">
        <v>63</v>
      </c>
      <c r="K18">
        <v>183</v>
      </c>
      <c r="L18">
        <v>6</v>
      </c>
      <c r="M18">
        <v>158</v>
      </c>
      <c r="N18">
        <v>5</v>
      </c>
      <c r="O18" t="s">
        <v>26</v>
      </c>
      <c r="P18" t="s">
        <v>41</v>
      </c>
      <c r="Q18">
        <v>25</v>
      </c>
      <c r="S18">
        <v>0</v>
      </c>
      <c r="T18" t="s">
        <v>84</v>
      </c>
      <c r="U18" t="s">
        <v>84</v>
      </c>
      <c r="V18">
        <v>77</v>
      </c>
      <c r="W18">
        <v>1900</v>
      </c>
      <c r="X18" t="s">
        <v>192</v>
      </c>
    </row>
    <row r="19" spans="1:24" x14ac:dyDescent="0.3">
      <c r="A19">
        <v>18</v>
      </c>
      <c r="B19" t="s">
        <v>83</v>
      </c>
      <c r="C19" t="s">
        <v>83</v>
      </c>
      <c r="D19" t="s">
        <v>83</v>
      </c>
      <c r="E19" t="s">
        <v>85</v>
      </c>
      <c r="F19" t="s">
        <v>49</v>
      </c>
      <c r="G19" t="s">
        <v>32</v>
      </c>
      <c r="H19" t="s">
        <v>24</v>
      </c>
      <c r="I19" t="s">
        <v>49</v>
      </c>
      <c r="J19" t="s">
        <v>25</v>
      </c>
      <c r="K19">
        <v>205</v>
      </c>
      <c r="L19">
        <v>4</v>
      </c>
      <c r="M19">
        <v>155</v>
      </c>
      <c r="N19">
        <v>9</v>
      </c>
      <c r="O19" t="s">
        <v>26</v>
      </c>
      <c r="P19" t="s">
        <v>32</v>
      </c>
      <c r="Q19">
        <v>50</v>
      </c>
      <c r="S19">
        <v>0</v>
      </c>
      <c r="T19" t="s">
        <v>86</v>
      </c>
      <c r="U19" t="s">
        <v>87</v>
      </c>
      <c r="V19">
        <v>67</v>
      </c>
      <c r="W19">
        <v>1900</v>
      </c>
      <c r="X19" t="s">
        <v>192</v>
      </c>
    </row>
    <row r="20" spans="1:24" x14ac:dyDescent="0.3">
      <c r="A20">
        <v>19</v>
      </c>
      <c r="B20" t="s">
        <v>88</v>
      </c>
      <c r="C20" t="s">
        <v>88</v>
      </c>
      <c r="D20" t="s">
        <v>88</v>
      </c>
      <c r="E20" t="s">
        <v>30</v>
      </c>
      <c r="F20" t="s">
        <v>31</v>
      </c>
      <c r="G20" t="s">
        <v>48</v>
      </c>
      <c r="H20" t="s">
        <v>24</v>
      </c>
      <c r="I20" t="s">
        <v>48</v>
      </c>
      <c r="J20" t="s">
        <v>25</v>
      </c>
      <c r="K20">
        <v>152</v>
      </c>
      <c r="L20">
        <v>8</v>
      </c>
      <c r="M20">
        <v>153</v>
      </c>
      <c r="N20">
        <v>3</v>
      </c>
      <c r="O20" t="s">
        <v>26</v>
      </c>
      <c r="P20" t="s">
        <v>48</v>
      </c>
      <c r="R20">
        <v>7</v>
      </c>
      <c r="S20">
        <v>20</v>
      </c>
      <c r="T20" t="s">
        <v>75</v>
      </c>
      <c r="U20" t="s">
        <v>89</v>
      </c>
      <c r="V20">
        <v>61</v>
      </c>
      <c r="W20">
        <v>1900</v>
      </c>
      <c r="X20" t="s">
        <v>192</v>
      </c>
    </row>
    <row r="21" spans="1:24" x14ac:dyDescent="0.3">
      <c r="A21">
        <v>20</v>
      </c>
      <c r="B21" t="s">
        <v>90</v>
      </c>
      <c r="C21" t="s">
        <v>90</v>
      </c>
      <c r="D21" t="s">
        <v>90</v>
      </c>
      <c r="E21" t="s">
        <v>67</v>
      </c>
      <c r="F21" t="s">
        <v>36</v>
      </c>
      <c r="G21" t="s">
        <v>23</v>
      </c>
      <c r="H21" t="s">
        <v>24</v>
      </c>
      <c r="I21" t="s">
        <v>36</v>
      </c>
      <c r="J21" t="s">
        <v>25</v>
      </c>
      <c r="K21">
        <v>221</v>
      </c>
      <c r="L21">
        <v>5</v>
      </c>
      <c r="M21">
        <v>209</v>
      </c>
      <c r="N21">
        <v>9</v>
      </c>
      <c r="O21" t="s">
        <v>26</v>
      </c>
      <c r="P21" t="s">
        <v>23</v>
      </c>
      <c r="Q21">
        <v>12</v>
      </c>
      <c r="S21">
        <v>0</v>
      </c>
      <c r="T21" t="s">
        <v>57</v>
      </c>
      <c r="U21" t="s">
        <v>28</v>
      </c>
      <c r="V21">
        <v>67</v>
      </c>
      <c r="W21">
        <v>1900</v>
      </c>
      <c r="X21" t="s">
        <v>192</v>
      </c>
    </row>
    <row r="22" spans="1:24" x14ac:dyDescent="0.3">
      <c r="A22">
        <v>21</v>
      </c>
      <c r="B22" t="s">
        <v>91</v>
      </c>
      <c r="C22" t="s">
        <v>91</v>
      </c>
      <c r="D22" t="s">
        <v>91</v>
      </c>
      <c r="E22" t="s">
        <v>21</v>
      </c>
      <c r="F22" t="s">
        <v>22</v>
      </c>
      <c r="G22" t="s">
        <v>42</v>
      </c>
      <c r="H22" t="s">
        <v>24</v>
      </c>
      <c r="I22" t="s">
        <v>22</v>
      </c>
      <c r="J22" t="s">
        <v>25</v>
      </c>
      <c r="K22">
        <v>238</v>
      </c>
      <c r="L22">
        <v>3</v>
      </c>
      <c r="M22">
        <v>234</v>
      </c>
      <c r="N22">
        <v>7</v>
      </c>
      <c r="O22" t="s">
        <v>26</v>
      </c>
      <c r="P22" t="s">
        <v>42</v>
      </c>
      <c r="Q22">
        <v>4</v>
      </c>
      <c r="S22">
        <v>0</v>
      </c>
      <c r="T22" t="s">
        <v>44</v>
      </c>
      <c r="U22" t="s">
        <v>44</v>
      </c>
      <c r="V22">
        <v>87</v>
      </c>
      <c r="W22">
        <v>1900</v>
      </c>
      <c r="X22" t="s">
        <v>192</v>
      </c>
    </row>
    <row r="23" spans="1:24" x14ac:dyDescent="0.3">
      <c r="A23">
        <v>22</v>
      </c>
      <c r="B23" t="s">
        <v>91</v>
      </c>
      <c r="C23" t="s">
        <v>91</v>
      </c>
      <c r="D23" t="s">
        <v>91</v>
      </c>
      <c r="E23" t="s">
        <v>85</v>
      </c>
      <c r="F23" t="s">
        <v>49</v>
      </c>
      <c r="G23" t="s">
        <v>35</v>
      </c>
      <c r="H23" t="s">
        <v>24</v>
      </c>
      <c r="I23" t="s">
        <v>49</v>
      </c>
      <c r="J23" t="s">
        <v>63</v>
      </c>
      <c r="K23">
        <v>219</v>
      </c>
      <c r="L23">
        <v>6</v>
      </c>
      <c r="M23">
        <v>201</v>
      </c>
      <c r="N23">
        <v>5</v>
      </c>
      <c r="O23" t="s">
        <v>26</v>
      </c>
      <c r="P23" t="s">
        <v>49</v>
      </c>
      <c r="Q23">
        <v>18</v>
      </c>
      <c r="S23">
        <v>0</v>
      </c>
      <c r="T23" t="s">
        <v>92</v>
      </c>
      <c r="U23" t="s">
        <v>92</v>
      </c>
      <c r="V23">
        <v>103</v>
      </c>
      <c r="W23">
        <v>1900</v>
      </c>
      <c r="X23" t="s">
        <v>192</v>
      </c>
    </row>
    <row r="24" spans="1:24" x14ac:dyDescent="0.3">
      <c r="A24">
        <v>23</v>
      </c>
      <c r="B24" t="s">
        <v>93</v>
      </c>
      <c r="C24" t="s">
        <v>93</v>
      </c>
      <c r="D24" t="s">
        <v>93</v>
      </c>
      <c r="E24" t="s">
        <v>47</v>
      </c>
      <c r="F24" t="s">
        <v>48</v>
      </c>
      <c r="G24" t="s">
        <v>32</v>
      </c>
      <c r="H24" t="s">
        <v>24</v>
      </c>
      <c r="I24" t="s">
        <v>32</v>
      </c>
      <c r="J24" t="s">
        <v>25</v>
      </c>
      <c r="K24">
        <v>217</v>
      </c>
      <c r="L24">
        <v>6</v>
      </c>
      <c r="M24">
        <v>159</v>
      </c>
      <c r="N24">
        <v>10</v>
      </c>
      <c r="O24" t="s">
        <v>26</v>
      </c>
      <c r="P24" t="s">
        <v>48</v>
      </c>
      <c r="Q24">
        <v>58</v>
      </c>
      <c r="S24">
        <v>4</v>
      </c>
      <c r="T24" t="s">
        <v>61</v>
      </c>
      <c r="U24" t="s">
        <v>61</v>
      </c>
      <c r="V24">
        <v>82</v>
      </c>
      <c r="W24">
        <v>1900</v>
      </c>
      <c r="X24" t="s">
        <v>192</v>
      </c>
    </row>
    <row r="25" spans="1:24" x14ac:dyDescent="0.3">
      <c r="A25">
        <v>24</v>
      </c>
      <c r="B25" t="s">
        <v>94</v>
      </c>
      <c r="C25" t="s">
        <v>94</v>
      </c>
      <c r="D25" t="s">
        <v>94</v>
      </c>
      <c r="E25" t="s">
        <v>74</v>
      </c>
      <c r="F25" t="s">
        <v>23</v>
      </c>
      <c r="G25" t="s">
        <v>41</v>
      </c>
      <c r="H25" t="s">
        <v>24</v>
      </c>
      <c r="I25" t="s">
        <v>41</v>
      </c>
      <c r="J25" t="s">
        <v>25</v>
      </c>
      <c r="K25">
        <v>163</v>
      </c>
      <c r="L25">
        <v>7</v>
      </c>
      <c r="M25">
        <v>169</v>
      </c>
      <c r="N25">
        <v>4</v>
      </c>
      <c r="O25" t="s">
        <v>26</v>
      </c>
      <c r="P25" t="s">
        <v>41</v>
      </c>
      <c r="R25">
        <v>6</v>
      </c>
      <c r="S25">
        <v>13</v>
      </c>
      <c r="T25" t="s">
        <v>84</v>
      </c>
      <c r="U25" t="s">
        <v>84</v>
      </c>
      <c r="V25">
        <v>93</v>
      </c>
      <c r="W25">
        <v>1900</v>
      </c>
      <c r="X25" t="s">
        <v>192</v>
      </c>
    </row>
    <row r="26" spans="1:24" x14ac:dyDescent="0.3">
      <c r="A26">
        <v>25</v>
      </c>
      <c r="B26" t="s">
        <v>95</v>
      </c>
      <c r="C26" t="s">
        <v>95</v>
      </c>
      <c r="D26" t="s">
        <v>95</v>
      </c>
      <c r="E26" t="s">
        <v>34</v>
      </c>
      <c r="F26" t="s">
        <v>35</v>
      </c>
      <c r="G26" t="s">
        <v>22</v>
      </c>
      <c r="H26" t="s">
        <v>24</v>
      </c>
      <c r="I26" t="s">
        <v>22</v>
      </c>
      <c r="J26" t="s">
        <v>25</v>
      </c>
      <c r="K26">
        <v>103</v>
      </c>
      <c r="L26">
        <v>9</v>
      </c>
      <c r="M26">
        <v>107</v>
      </c>
      <c r="N26">
        <v>2</v>
      </c>
      <c r="O26" t="s">
        <v>26</v>
      </c>
      <c r="P26" t="s">
        <v>22</v>
      </c>
      <c r="R26">
        <v>8</v>
      </c>
      <c r="S26">
        <v>59</v>
      </c>
      <c r="T26" t="s">
        <v>96</v>
      </c>
      <c r="U26" t="s">
        <v>96</v>
      </c>
      <c r="V26">
        <v>44</v>
      </c>
      <c r="W26">
        <v>1900</v>
      </c>
      <c r="X26" t="s">
        <v>192</v>
      </c>
    </row>
    <row r="27" spans="1:24" x14ac:dyDescent="0.3">
      <c r="A27">
        <v>26</v>
      </c>
      <c r="B27" t="s">
        <v>97</v>
      </c>
      <c r="C27" t="s">
        <v>97</v>
      </c>
      <c r="D27" t="s">
        <v>97</v>
      </c>
      <c r="E27" t="s">
        <v>71</v>
      </c>
      <c r="F27" t="s">
        <v>42</v>
      </c>
      <c r="G27" t="s">
        <v>48</v>
      </c>
      <c r="H27" t="s">
        <v>24</v>
      </c>
      <c r="I27" t="s">
        <v>42</v>
      </c>
      <c r="J27" t="s">
        <v>25</v>
      </c>
      <c r="K27">
        <v>180</v>
      </c>
      <c r="L27">
        <v>6</v>
      </c>
      <c r="M27">
        <v>186</v>
      </c>
      <c r="N27">
        <v>4</v>
      </c>
      <c r="O27" t="s">
        <v>26</v>
      </c>
      <c r="P27" t="s">
        <v>42</v>
      </c>
      <c r="R27">
        <v>6</v>
      </c>
      <c r="S27">
        <v>3</v>
      </c>
      <c r="T27" t="s">
        <v>98</v>
      </c>
      <c r="U27" t="s">
        <v>44</v>
      </c>
      <c r="V27">
        <v>61</v>
      </c>
      <c r="W27">
        <v>1900</v>
      </c>
      <c r="X27" t="s">
        <v>192</v>
      </c>
    </row>
    <row r="28" spans="1:24" x14ac:dyDescent="0.3">
      <c r="A28">
        <v>27</v>
      </c>
      <c r="B28" t="s">
        <v>97</v>
      </c>
      <c r="C28" t="s">
        <v>97</v>
      </c>
      <c r="D28" t="s">
        <v>97</v>
      </c>
      <c r="E28" t="s">
        <v>30</v>
      </c>
      <c r="F28" t="s">
        <v>31</v>
      </c>
      <c r="G28" t="s">
        <v>49</v>
      </c>
      <c r="H28" t="s">
        <v>24</v>
      </c>
      <c r="I28" t="s">
        <v>49</v>
      </c>
      <c r="J28" t="s">
        <v>63</v>
      </c>
      <c r="K28">
        <v>245</v>
      </c>
      <c r="L28">
        <v>6</v>
      </c>
      <c r="M28">
        <v>247</v>
      </c>
      <c r="N28">
        <v>2</v>
      </c>
      <c r="O28" t="s">
        <v>26</v>
      </c>
      <c r="P28" t="s">
        <v>31</v>
      </c>
      <c r="R28">
        <v>8</v>
      </c>
      <c r="S28">
        <v>9</v>
      </c>
      <c r="T28" t="s">
        <v>99</v>
      </c>
      <c r="U28" t="s">
        <v>99</v>
      </c>
      <c r="V28">
        <v>141</v>
      </c>
      <c r="W28">
        <v>1900</v>
      </c>
      <c r="X28" t="s">
        <v>192</v>
      </c>
    </row>
    <row r="29" spans="1:24" x14ac:dyDescent="0.3">
      <c r="A29">
        <v>28</v>
      </c>
      <c r="B29" t="s">
        <v>101</v>
      </c>
      <c r="C29" t="s">
        <v>101</v>
      </c>
      <c r="D29" t="s">
        <v>101</v>
      </c>
      <c r="E29" t="s">
        <v>102</v>
      </c>
      <c r="F29" t="s">
        <v>32</v>
      </c>
      <c r="G29" t="s">
        <v>23</v>
      </c>
      <c r="H29" t="s">
        <v>24</v>
      </c>
      <c r="I29" t="s">
        <v>23</v>
      </c>
      <c r="J29" t="s">
        <v>25</v>
      </c>
      <c r="K29">
        <v>173</v>
      </c>
      <c r="L29">
        <v>4</v>
      </c>
      <c r="M29">
        <v>175</v>
      </c>
      <c r="N29">
        <v>1</v>
      </c>
      <c r="O29" t="s">
        <v>26</v>
      </c>
      <c r="P29" t="s">
        <v>23</v>
      </c>
      <c r="R29">
        <v>9</v>
      </c>
      <c r="S29">
        <v>15</v>
      </c>
      <c r="T29" t="s">
        <v>103</v>
      </c>
      <c r="U29" t="s">
        <v>87</v>
      </c>
      <c r="V29">
        <v>75</v>
      </c>
      <c r="W29">
        <v>1900</v>
      </c>
      <c r="X29" t="s">
        <v>192</v>
      </c>
    </row>
    <row r="30" spans="1:24" x14ac:dyDescent="0.3">
      <c r="A30">
        <v>29</v>
      </c>
      <c r="B30" t="s">
        <v>101</v>
      </c>
      <c r="C30" t="s">
        <v>101</v>
      </c>
      <c r="D30" t="s">
        <v>101</v>
      </c>
      <c r="E30" t="s">
        <v>104</v>
      </c>
      <c r="F30" t="s">
        <v>41</v>
      </c>
      <c r="G30" t="s">
        <v>36</v>
      </c>
      <c r="H30" t="s">
        <v>24</v>
      </c>
      <c r="I30" t="s">
        <v>41</v>
      </c>
      <c r="J30" t="s">
        <v>25</v>
      </c>
      <c r="K30">
        <v>205</v>
      </c>
      <c r="L30">
        <v>5</v>
      </c>
      <c r="M30">
        <v>193</v>
      </c>
      <c r="N30">
        <v>10</v>
      </c>
      <c r="O30" t="s">
        <v>26</v>
      </c>
      <c r="P30" t="s">
        <v>41</v>
      </c>
      <c r="Q30">
        <v>12</v>
      </c>
      <c r="S30">
        <v>6</v>
      </c>
      <c r="T30" t="s">
        <v>105</v>
      </c>
      <c r="U30" t="s">
        <v>106</v>
      </c>
      <c r="V30">
        <v>89</v>
      </c>
      <c r="W30">
        <v>1900</v>
      </c>
      <c r="X30" t="s">
        <v>192</v>
      </c>
    </row>
    <row r="31" spans="1:24" x14ac:dyDescent="0.3">
      <c r="A31">
        <v>30</v>
      </c>
      <c r="B31" t="s">
        <v>107</v>
      </c>
      <c r="C31" t="s">
        <v>107</v>
      </c>
      <c r="D31" t="s">
        <v>107</v>
      </c>
      <c r="E31" t="s">
        <v>71</v>
      </c>
      <c r="F31" t="s">
        <v>42</v>
      </c>
      <c r="G31" t="s">
        <v>35</v>
      </c>
      <c r="H31" t="s">
        <v>24</v>
      </c>
      <c r="I31" t="s">
        <v>35</v>
      </c>
      <c r="J31" t="s">
        <v>25</v>
      </c>
      <c r="K31">
        <v>166</v>
      </c>
      <c r="L31">
        <v>7</v>
      </c>
      <c r="M31">
        <v>168</v>
      </c>
      <c r="N31">
        <v>5</v>
      </c>
      <c r="O31" t="s">
        <v>26</v>
      </c>
      <c r="P31" t="s">
        <v>35</v>
      </c>
      <c r="R31">
        <v>5</v>
      </c>
      <c r="S31">
        <v>3</v>
      </c>
      <c r="T31" t="s">
        <v>108</v>
      </c>
      <c r="U31" t="s">
        <v>109</v>
      </c>
      <c r="V31">
        <v>63</v>
      </c>
      <c r="W31">
        <v>1900</v>
      </c>
      <c r="X31" t="s">
        <v>192</v>
      </c>
    </row>
    <row r="32" spans="1:24" x14ac:dyDescent="0.3">
      <c r="A32">
        <v>31</v>
      </c>
      <c r="B32" t="s">
        <v>110</v>
      </c>
      <c r="C32" t="s">
        <v>110</v>
      </c>
      <c r="D32" t="s">
        <v>110</v>
      </c>
      <c r="E32" t="s">
        <v>85</v>
      </c>
      <c r="F32" t="s">
        <v>49</v>
      </c>
      <c r="G32" t="s">
        <v>22</v>
      </c>
      <c r="H32" t="s">
        <v>24</v>
      </c>
      <c r="I32" t="s">
        <v>49</v>
      </c>
      <c r="J32" t="s">
        <v>63</v>
      </c>
      <c r="K32">
        <v>111</v>
      </c>
      <c r="L32">
        <v>10</v>
      </c>
      <c r="M32">
        <v>95</v>
      </c>
      <c r="N32">
        <v>10</v>
      </c>
      <c r="O32" t="s">
        <v>26</v>
      </c>
      <c r="P32" t="s">
        <v>49</v>
      </c>
      <c r="Q32">
        <v>16</v>
      </c>
      <c r="S32">
        <v>29</v>
      </c>
      <c r="T32" t="s">
        <v>111</v>
      </c>
      <c r="U32" t="s">
        <v>112</v>
      </c>
      <c r="V32">
        <v>37</v>
      </c>
      <c r="W32">
        <v>1900</v>
      </c>
      <c r="X32" t="s">
        <v>192</v>
      </c>
    </row>
    <row r="33" spans="1:24" x14ac:dyDescent="0.3">
      <c r="A33">
        <v>32</v>
      </c>
      <c r="B33" t="s">
        <v>113</v>
      </c>
      <c r="C33" t="s">
        <v>113</v>
      </c>
      <c r="D33" t="s">
        <v>113</v>
      </c>
      <c r="E33" t="s">
        <v>104</v>
      </c>
      <c r="F33" t="s">
        <v>41</v>
      </c>
      <c r="G33" t="s">
        <v>32</v>
      </c>
      <c r="H33" t="s">
        <v>24</v>
      </c>
      <c r="I33" t="s">
        <v>32</v>
      </c>
      <c r="J33" t="s">
        <v>25</v>
      </c>
      <c r="K33">
        <v>188</v>
      </c>
      <c r="L33">
        <v>5</v>
      </c>
      <c r="M33">
        <v>188</v>
      </c>
      <c r="N33">
        <v>4</v>
      </c>
      <c r="O33" t="s">
        <v>26</v>
      </c>
      <c r="P33" t="s">
        <v>41</v>
      </c>
      <c r="Q33" t="s">
        <v>114</v>
      </c>
      <c r="R33" t="s">
        <v>114</v>
      </c>
      <c r="S33">
        <v>0</v>
      </c>
      <c r="T33" t="s">
        <v>45</v>
      </c>
      <c r="U33" t="s">
        <v>65</v>
      </c>
      <c r="V33">
        <v>51</v>
      </c>
      <c r="W33">
        <v>1900</v>
      </c>
      <c r="X33" t="s">
        <v>192</v>
      </c>
    </row>
    <row r="34" spans="1:24" x14ac:dyDescent="0.3">
      <c r="A34">
        <v>33</v>
      </c>
      <c r="B34" t="s">
        <v>115</v>
      </c>
      <c r="C34" t="s">
        <v>115</v>
      </c>
      <c r="D34" t="s">
        <v>115</v>
      </c>
      <c r="E34" t="s">
        <v>67</v>
      </c>
      <c r="F34" t="s">
        <v>36</v>
      </c>
      <c r="G34" t="s">
        <v>31</v>
      </c>
      <c r="H34" t="s">
        <v>24</v>
      </c>
      <c r="I34" t="s">
        <v>36</v>
      </c>
      <c r="J34" t="s">
        <v>25</v>
      </c>
      <c r="K34">
        <v>162</v>
      </c>
      <c r="L34">
        <v>5</v>
      </c>
      <c r="M34">
        <v>166</v>
      </c>
      <c r="N34">
        <v>6</v>
      </c>
      <c r="O34" t="s">
        <v>26</v>
      </c>
      <c r="P34" t="s">
        <v>36</v>
      </c>
      <c r="R34">
        <v>4</v>
      </c>
      <c r="S34">
        <v>11</v>
      </c>
      <c r="T34" t="s">
        <v>116</v>
      </c>
      <c r="U34" t="s">
        <v>99</v>
      </c>
      <c r="V34">
        <v>40</v>
      </c>
      <c r="W34">
        <v>1900</v>
      </c>
      <c r="X34" t="s">
        <v>193</v>
      </c>
    </row>
    <row r="35" spans="1:24" x14ac:dyDescent="0.3">
      <c r="A35">
        <v>34</v>
      </c>
      <c r="B35" t="s">
        <v>117</v>
      </c>
      <c r="C35" t="s">
        <v>117</v>
      </c>
      <c r="D35" t="s">
        <v>117</v>
      </c>
      <c r="E35" t="s">
        <v>74</v>
      </c>
      <c r="F35" t="s">
        <v>23</v>
      </c>
      <c r="G35" t="s">
        <v>49</v>
      </c>
      <c r="H35" t="s">
        <v>24</v>
      </c>
      <c r="I35" t="s">
        <v>49</v>
      </c>
      <c r="J35" t="s">
        <v>25</v>
      </c>
      <c r="K35">
        <v>95</v>
      </c>
      <c r="L35">
        <v>9</v>
      </c>
      <c r="M35">
        <v>98</v>
      </c>
      <c r="N35">
        <v>5</v>
      </c>
      <c r="O35" t="s">
        <v>26</v>
      </c>
      <c r="P35" t="s">
        <v>49</v>
      </c>
      <c r="R35">
        <v>5</v>
      </c>
      <c r="S35">
        <v>11</v>
      </c>
      <c r="T35" t="s">
        <v>118</v>
      </c>
      <c r="U35" t="s">
        <v>118</v>
      </c>
      <c r="V35">
        <v>50</v>
      </c>
      <c r="W35">
        <v>1900</v>
      </c>
      <c r="X35" t="s">
        <v>193</v>
      </c>
    </row>
    <row r="36" spans="1:24" x14ac:dyDescent="0.3">
      <c r="A36">
        <v>35</v>
      </c>
      <c r="B36" t="s">
        <v>119</v>
      </c>
      <c r="C36" t="s">
        <v>119</v>
      </c>
      <c r="D36" t="s">
        <v>119</v>
      </c>
      <c r="E36" t="s">
        <v>47</v>
      </c>
      <c r="F36" t="s">
        <v>48</v>
      </c>
      <c r="G36" t="s">
        <v>41</v>
      </c>
      <c r="H36" t="s">
        <v>24</v>
      </c>
      <c r="I36" t="s">
        <v>48</v>
      </c>
      <c r="J36" t="s">
        <v>25</v>
      </c>
      <c r="K36">
        <v>203</v>
      </c>
      <c r="L36">
        <v>8</v>
      </c>
      <c r="M36">
        <v>204</v>
      </c>
      <c r="N36">
        <v>3</v>
      </c>
      <c r="O36" t="s">
        <v>26</v>
      </c>
      <c r="P36" t="s">
        <v>48</v>
      </c>
      <c r="R36">
        <v>7</v>
      </c>
      <c r="S36">
        <v>4</v>
      </c>
      <c r="T36" t="s">
        <v>76</v>
      </c>
      <c r="U36" t="s">
        <v>76</v>
      </c>
      <c r="V36">
        <v>97</v>
      </c>
      <c r="W36">
        <v>1900</v>
      </c>
      <c r="X36" t="s">
        <v>193</v>
      </c>
    </row>
    <row r="37" spans="1:24" x14ac:dyDescent="0.3">
      <c r="A37">
        <v>36</v>
      </c>
      <c r="B37" t="s">
        <v>119</v>
      </c>
      <c r="C37" t="s">
        <v>119</v>
      </c>
      <c r="D37" t="s">
        <v>119</v>
      </c>
      <c r="E37" t="s">
        <v>102</v>
      </c>
      <c r="F37" t="s">
        <v>32</v>
      </c>
      <c r="G37" t="s">
        <v>42</v>
      </c>
      <c r="H37" t="s">
        <v>24</v>
      </c>
      <c r="I37" t="s">
        <v>42</v>
      </c>
      <c r="J37" t="s">
        <v>63</v>
      </c>
      <c r="K37">
        <v>180</v>
      </c>
      <c r="L37">
        <v>5</v>
      </c>
      <c r="M37">
        <v>178</v>
      </c>
      <c r="N37">
        <v>5</v>
      </c>
      <c r="O37" t="s">
        <v>26</v>
      </c>
      <c r="P37" t="s">
        <v>42</v>
      </c>
      <c r="Q37">
        <v>2</v>
      </c>
      <c r="S37">
        <v>0</v>
      </c>
      <c r="T37" t="s">
        <v>120</v>
      </c>
      <c r="U37" t="s">
        <v>87</v>
      </c>
      <c r="V37">
        <v>74</v>
      </c>
      <c r="W37">
        <v>1900</v>
      </c>
      <c r="X37" t="s">
        <v>193</v>
      </c>
    </row>
    <row r="38" spans="1:24" x14ac:dyDescent="0.3">
      <c r="A38">
        <v>37</v>
      </c>
      <c r="B38" t="s">
        <v>121</v>
      </c>
      <c r="C38" t="s">
        <v>121</v>
      </c>
      <c r="D38" t="s">
        <v>121</v>
      </c>
      <c r="E38" t="s">
        <v>85</v>
      </c>
      <c r="F38" t="s">
        <v>49</v>
      </c>
      <c r="G38" t="s">
        <v>23</v>
      </c>
      <c r="H38" t="s">
        <v>24</v>
      </c>
      <c r="I38" t="s">
        <v>23</v>
      </c>
      <c r="J38" t="s">
        <v>25</v>
      </c>
      <c r="K38">
        <v>157</v>
      </c>
      <c r="L38">
        <v>6</v>
      </c>
      <c r="M38">
        <v>159</v>
      </c>
      <c r="N38">
        <v>3</v>
      </c>
      <c r="O38" t="s">
        <v>26</v>
      </c>
      <c r="P38" t="s">
        <v>49</v>
      </c>
      <c r="R38">
        <v>7</v>
      </c>
      <c r="S38">
        <v>7</v>
      </c>
      <c r="T38" t="s">
        <v>28</v>
      </c>
      <c r="U38" t="s">
        <v>28</v>
      </c>
      <c r="V38">
        <v>73</v>
      </c>
      <c r="W38">
        <v>1900</v>
      </c>
      <c r="X38" t="s">
        <v>193</v>
      </c>
    </row>
    <row r="39" spans="1:24" x14ac:dyDescent="0.3">
      <c r="A39">
        <v>38</v>
      </c>
      <c r="B39" t="s">
        <v>121</v>
      </c>
      <c r="C39" t="s">
        <v>121</v>
      </c>
      <c r="D39" t="s">
        <v>121</v>
      </c>
      <c r="E39" t="s">
        <v>67</v>
      </c>
      <c r="F39" t="s">
        <v>36</v>
      </c>
      <c r="G39" t="s">
        <v>35</v>
      </c>
      <c r="H39" t="s">
        <v>24</v>
      </c>
      <c r="I39" t="s">
        <v>36</v>
      </c>
      <c r="J39" t="s">
        <v>25</v>
      </c>
      <c r="K39">
        <v>176</v>
      </c>
      <c r="L39">
        <v>5</v>
      </c>
      <c r="M39">
        <v>177</v>
      </c>
      <c r="N39">
        <v>1</v>
      </c>
      <c r="O39" t="s">
        <v>26</v>
      </c>
      <c r="P39" t="s">
        <v>36</v>
      </c>
      <c r="R39">
        <v>9</v>
      </c>
      <c r="S39">
        <v>26</v>
      </c>
      <c r="T39" t="s">
        <v>122</v>
      </c>
      <c r="U39" t="s">
        <v>122</v>
      </c>
      <c r="V39">
        <v>76</v>
      </c>
      <c r="W39">
        <v>1900</v>
      </c>
      <c r="X39" t="s">
        <v>193</v>
      </c>
    </row>
    <row r="40" spans="1:24" x14ac:dyDescent="0.3">
      <c r="A40">
        <v>39</v>
      </c>
      <c r="B40" t="s">
        <v>123</v>
      </c>
      <c r="C40" t="s">
        <v>123</v>
      </c>
      <c r="D40" t="s">
        <v>123</v>
      </c>
      <c r="E40" t="s">
        <v>21</v>
      </c>
      <c r="F40" t="s">
        <v>22</v>
      </c>
      <c r="G40" t="s">
        <v>48</v>
      </c>
      <c r="H40" t="s">
        <v>24</v>
      </c>
      <c r="I40" t="s">
        <v>22</v>
      </c>
      <c r="J40" t="s">
        <v>25</v>
      </c>
      <c r="K40">
        <v>198</v>
      </c>
      <c r="L40">
        <v>3</v>
      </c>
      <c r="M40">
        <v>159</v>
      </c>
      <c r="N40">
        <v>8</v>
      </c>
      <c r="O40" t="s">
        <v>26</v>
      </c>
      <c r="P40" t="s">
        <v>48</v>
      </c>
      <c r="Q40">
        <v>39</v>
      </c>
      <c r="S40">
        <v>0</v>
      </c>
      <c r="T40" t="s">
        <v>89</v>
      </c>
      <c r="U40" t="s">
        <v>89</v>
      </c>
      <c r="V40">
        <v>90</v>
      </c>
      <c r="W40">
        <v>1900</v>
      </c>
      <c r="X40" t="s">
        <v>193</v>
      </c>
    </row>
    <row r="41" spans="1:24" x14ac:dyDescent="0.3">
      <c r="A41">
        <v>40</v>
      </c>
      <c r="B41" t="s">
        <v>124</v>
      </c>
      <c r="C41" t="s">
        <v>124</v>
      </c>
      <c r="D41" t="s">
        <v>124</v>
      </c>
      <c r="E41" t="s">
        <v>71</v>
      </c>
      <c r="F41" t="s">
        <v>42</v>
      </c>
      <c r="G41" t="s">
        <v>41</v>
      </c>
      <c r="H41" t="s">
        <v>24</v>
      </c>
      <c r="I41" t="s">
        <v>41</v>
      </c>
      <c r="J41" t="s">
        <v>25</v>
      </c>
      <c r="K41">
        <v>159</v>
      </c>
      <c r="L41">
        <v>6</v>
      </c>
      <c r="M41">
        <v>161</v>
      </c>
      <c r="N41">
        <v>2</v>
      </c>
      <c r="O41" t="s">
        <v>26</v>
      </c>
      <c r="P41" t="s">
        <v>41</v>
      </c>
      <c r="R41">
        <v>8</v>
      </c>
      <c r="S41">
        <v>13</v>
      </c>
      <c r="T41" t="s">
        <v>125</v>
      </c>
      <c r="U41" t="s">
        <v>84</v>
      </c>
      <c r="V41">
        <v>57</v>
      </c>
      <c r="W41">
        <v>1900</v>
      </c>
      <c r="X41" t="s">
        <v>193</v>
      </c>
    </row>
    <row r="42" spans="1:24" x14ac:dyDescent="0.3">
      <c r="A42">
        <v>41</v>
      </c>
      <c r="B42" t="s">
        <v>126</v>
      </c>
      <c r="C42" t="s">
        <v>126</v>
      </c>
      <c r="D42" t="s">
        <v>126</v>
      </c>
      <c r="E42" t="s">
        <v>30</v>
      </c>
      <c r="F42" t="s">
        <v>31</v>
      </c>
      <c r="G42" t="s">
        <v>36</v>
      </c>
      <c r="H42" t="s">
        <v>24</v>
      </c>
      <c r="I42" t="s">
        <v>31</v>
      </c>
      <c r="J42" t="s">
        <v>25</v>
      </c>
      <c r="K42">
        <v>143</v>
      </c>
      <c r="L42">
        <v>8</v>
      </c>
      <c r="M42">
        <v>146</v>
      </c>
      <c r="N42">
        <v>3</v>
      </c>
      <c r="O42" t="s">
        <v>26</v>
      </c>
      <c r="P42" t="s">
        <v>36</v>
      </c>
      <c r="R42">
        <v>7</v>
      </c>
      <c r="S42">
        <v>26</v>
      </c>
      <c r="T42" t="s">
        <v>127</v>
      </c>
      <c r="U42" t="s">
        <v>128</v>
      </c>
      <c r="V42">
        <v>71</v>
      </c>
      <c r="W42">
        <v>1900</v>
      </c>
      <c r="X42" t="s">
        <v>193</v>
      </c>
    </row>
    <row r="43" spans="1:24" x14ac:dyDescent="0.3">
      <c r="A43">
        <v>42</v>
      </c>
      <c r="B43" t="s">
        <v>129</v>
      </c>
      <c r="C43" t="s">
        <v>129</v>
      </c>
      <c r="D43" t="s">
        <v>129</v>
      </c>
      <c r="E43" t="s">
        <v>74</v>
      </c>
      <c r="F43" t="s">
        <v>23</v>
      </c>
      <c r="G43" t="s">
        <v>32</v>
      </c>
      <c r="H43" t="s">
        <v>24</v>
      </c>
      <c r="I43" t="s">
        <v>32</v>
      </c>
      <c r="J43" t="s">
        <v>25</v>
      </c>
      <c r="K43">
        <v>205</v>
      </c>
      <c r="L43">
        <v>5</v>
      </c>
      <c r="M43">
        <v>194</v>
      </c>
      <c r="N43">
        <v>9</v>
      </c>
      <c r="O43" t="s">
        <v>26</v>
      </c>
      <c r="P43" t="s">
        <v>23</v>
      </c>
      <c r="Q43">
        <v>11</v>
      </c>
      <c r="S43">
        <v>0</v>
      </c>
      <c r="T43" t="s">
        <v>58</v>
      </c>
      <c r="U43" t="s">
        <v>28</v>
      </c>
      <c r="V43">
        <v>70</v>
      </c>
      <c r="W43">
        <v>1900</v>
      </c>
      <c r="X43" t="s">
        <v>193</v>
      </c>
    </row>
    <row r="44" spans="1:24" x14ac:dyDescent="0.3">
      <c r="A44">
        <v>43</v>
      </c>
      <c r="B44" t="s">
        <v>130</v>
      </c>
      <c r="C44" t="s">
        <v>130</v>
      </c>
      <c r="D44" t="s">
        <v>130</v>
      </c>
      <c r="E44" t="s">
        <v>34</v>
      </c>
      <c r="F44" t="s">
        <v>35</v>
      </c>
      <c r="G44" t="s">
        <v>31</v>
      </c>
      <c r="H44" t="s">
        <v>24</v>
      </c>
      <c r="I44" t="s">
        <v>31</v>
      </c>
      <c r="J44" t="s">
        <v>25</v>
      </c>
      <c r="K44">
        <v>154</v>
      </c>
      <c r="L44">
        <v>10</v>
      </c>
      <c r="M44">
        <v>155</v>
      </c>
      <c r="N44">
        <v>5</v>
      </c>
      <c r="O44" t="s">
        <v>26</v>
      </c>
      <c r="P44" t="s">
        <v>31</v>
      </c>
      <c r="R44">
        <v>5</v>
      </c>
      <c r="S44">
        <v>8</v>
      </c>
      <c r="T44" t="s">
        <v>100</v>
      </c>
      <c r="U44" t="s">
        <v>33</v>
      </c>
      <c r="V44">
        <v>44</v>
      </c>
      <c r="W44">
        <v>1900</v>
      </c>
      <c r="X44" t="s">
        <v>193</v>
      </c>
    </row>
    <row r="45" spans="1:24" x14ac:dyDescent="0.3">
      <c r="A45">
        <v>44</v>
      </c>
      <c r="B45" t="s">
        <v>131</v>
      </c>
      <c r="C45" t="s">
        <v>131</v>
      </c>
      <c r="D45" t="s">
        <v>131</v>
      </c>
      <c r="E45" t="s">
        <v>21</v>
      </c>
      <c r="F45" t="s">
        <v>22</v>
      </c>
      <c r="G45" t="s">
        <v>49</v>
      </c>
      <c r="H45" t="s">
        <v>24</v>
      </c>
      <c r="I45" t="s">
        <v>49</v>
      </c>
      <c r="J45" t="s">
        <v>63</v>
      </c>
      <c r="K45">
        <v>201</v>
      </c>
      <c r="L45">
        <v>4</v>
      </c>
      <c r="M45">
        <v>7</v>
      </c>
      <c r="N45">
        <v>0</v>
      </c>
      <c r="O45" t="s">
        <v>132</v>
      </c>
      <c r="S45">
        <v>114</v>
      </c>
      <c r="W45">
        <v>1900</v>
      </c>
      <c r="X45" t="s">
        <v>193</v>
      </c>
    </row>
    <row r="46" spans="1:24" x14ac:dyDescent="0.3">
      <c r="A46">
        <v>45</v>
      </c>
      <c r="B46" t="s">
        <v>133</v>
      </c>
      <c r="C46" t="s">
        <v>133</v>
      </c>
      <c r="D46" t="s">
        <v>133</v>
      </c>
      <c r="E46" t="s">
        <v>67</v>
      </c>
      <c r="F46" t="s">
        <v>36</v>
      </c>
      <c r="G46" t="s">
        <v>42</v>
      </c>
      <c r="H46" t="s">
        <v>24</v>
      </c>
      <c r="I46" t="s">
        <v>42</v>
      </c>
      <c r="J46" t="s">
        <v>25</v>
      </c>
      <c r="K46">
        <v>215</v>
      </c>
      <c r="L46">
        <v>7</v>
      </c>
      <c r="M46">
        <v>161</v>
      </c>
      <c r="N46">
        <v>10</v>
      </c>
      <c r="O46" t="s">
        <v>26</v>
      </c>
      <c r="P46" t="s">
        <v>36</v>
      </c>
      <c r="Q46">
        <v>54</v>
      </c>
      <c r="S46">
        <v>0</v>
      </c>
      <c r="T46" t="s">
        <v>116</v>
      </c>
      <c r="U46" t="s">
        <v>69</v>
      </c>
      <c r="V46">
        <v>58</v>
      </c>
      <c r="W46">
        <v>1900</v>
      </c>
      <c r="X46" t="s">
        <v>193</v>
      </c>
    </row>
    <row r="47" spans="1:24" x14ac:dyDescent="0.3">
      <c r="A47">
        <v>46</v>
      </c>
      <c r="B47" t="s">
        <v>133</v>
      </c>
      <c r="C47" t="s">
        <v>133</v>
      </c>
      <c r="D47" t="s">
        <v>133</v>
      </c>
      <c r="E47" t="s">
        <v>104</v>
      </c>
      <c r="F47" t="s">
        <v>41</v>
      </c>
      <c r="G47" t="s">
        <v>23</v>
      </c>
      <c r="H47" t="s">
        <v>24</v>
      </c>
      <c r="I47" t="s">
        <v>23</v>
      </c>
      <c r="J47" t="s">
        <v>25</v>
      </c>
      <c r="K47">
        <v>162</v>
      </c>
      <c r="L47">
        <v>8</v>
      </c>
      <c r="M47">
        <v>165</v>
      </c>
      <c r="N47">
        <v>4</v>
      </c>
      <c r="O47" t="s">
        <v>26</v>
      </c>
      <c r="P47" t="s">
        <v>23</v>
      </c>
      <c r="R47">
        <v>6</v>
      </c>
      <c r="S47">
        <v>9</v>
      </c>
      <c r="T47" t="s">
        <v>27</v>
      </c>
      <c r="U47" t="s">
        <v>27</v>
      </c>
      <c r="V47">
        <v>73</v>
      </c>
      <c r="W47">
        <v>1900</v>
      </c>
      <c r="X47" t="s">
        <v>193</v>
      </c>
    </row>
    <row r="48" spans="1:24" x14ac:dyDescent="0.3">
      <c r="A48">
        <v>47</v>
      </c>
      <c r="B48" t="s">
        <v>134</v>
      </c>
      <c r="C48" t="s">
        <v>134</v>
      </c>
      <c r="D48" t="s">
        <v>134</v>
      </c>
      <c r="E48" t="s">
        <v>102</v>
      </c>
      <c r="F48" t="s">
        <v>32</v>
      </c>
      <c r="G48" t="s">
        <v>48</v>
      </c>
      <c r="H48" t="s">
        <v>24</v>
      </c>
      <c r="I48" t="s">
        <v>32</v>
      </c>
      <c r="J48" t="s">
        <v>25</v>
      </c>
      <c r="K48">
        <v>209</v>
      </c>
      <c r="L48">
        <v>4</v>
      </c>
      <c r="M48">
        <v>212</v>
      </c>
      <c r="N48">
        <v>2</v>
      </c>
      <c r="O48" t="s">
        <v>26</v>
      </c>
      <c r="P48" t="s">
        <v>32</v>
      </c>
      <c r="R48">
        <v>8</v>
      </c>
      <c r="S48">
        <v>25</v>
      </c>
      <c r="T48" t="s">
        <v>135</v>
      </c>
      <c r="U48" t="s">
        <v>135</v>
      </c>
      <c r="V48">
        <v>101</v>
      </c>
      <c r="W48">
        <v>1900</v>
      </c>
      <c r="X48" t="s">
        <v>193</v>
      </c>
    </row>
    <row r="49" spans="1:24" x14ac:dyDescent="0.3">
      <c r="A49">
        <v>48</v>
      </c>
      <c r="B49" t="s">
        <v>136</v>
      </c>
      <c r="C49" t="s">
        <v>136</v>
      </c>
      <c r="D49" t="s">
        <v>136</v>
      </c>
      <c r="E49" t="s">
        <v>104</v>
      </c>
      <c r="F49" t="s">
        <v>41</v>
      </c>
      <c r="G49" t="s">
        <v>22</v>
      </c>
      <c r="H49" t="s">
        <v>24</v>
      </c>
      <c r="I49" t="s">
        <v>41</v>
      </c>
      <c r="J49" t="s">
        <v>25</v>
      </c>
      <c r="K49">
        <v>204</v>
      </c>
      <c r="L49">
        <v>9</v>
      </c>
      <c r="M49">
        <v>190</v>
      </c>
      <c r="N49">
        <v>9</v>
      </c>
      <c r="O49" t="s">
        <v>26</v>
      </c>
      <c r="P49" t="s">
        <v>22</v>
      </c>
      <c r="Q49">
        <v>14</v>
      </c>
      <c r="S49">
        <v>0</v>
      </c>
      <c r="T49" t="s">
        <v>96</v>
      </c>
      <c r="U49" t="s">
        <v>137</v>
      </c>
      <c r="V49">
        <v>62</v>
      </c>
      <c r="W49">
        <v>1900</v>
      </c>
      <c r="X49" t="s">
        <v>193</v>
      </c>
    </row>
    <row r="50" spans="1:24" x14ac:dyDescent="0.3">
      <c r="A50">
        <v>49</v>
      </c>
      <c r="B50" t="s">
        <v>138</v>
      </c>
      <c r="C50" t="s">
        <v>138</v>
      </c>
      <c r="D50" t="s">
        <v>138</v>
      </c>
      <c r="E50" t="s">
        <v>34</v>
      </c>
      <c r="F50" t="s">
        <v>35</v>
      </c>
      <c r="G50" t="s">
        <v>49</v>
      </c>
      <c r="H50" t="s">
        <v>24</v>
      </c>
      <c r="I50" t="s">
        <v>49</v>
      </c>
      <c r="J50" t="s">
        <v>25</v>
      </c>
      <c r="K50">
        <v>190</v>
      </c>
      <c r="L50">
        <v>10</v>
      </c>
      <c r="M50">
        <v>194</v>
      </c>
      <c r="N50">
        <v>6</v>
      </c>
      <c r="O50" t="s">
        <v>26</v>
      </c>
      <c r="P50" t="s">
        <v>49</v>
      </c>
      <c r="R50">
        <v>4</v>
      </c>
      <c r="S50">
        <v>2</v>
      </c>
      <c r="T50" t="s">
        <v>50</v>
      </c>
      <c r="U50" t="s">
        <v>139</v>
      </c>
      <c r="V50">
        <v>88</v>
      </c>
      <c r="W50">
        <v>1900</v>
      </c>
      <c r="X50" t="s">
        <v>193</v>
      </c>
    </row>
    <row r="51" spans="1:24" x14ac:dyDescent="0.3">
      <c r="A51">
        <v>50</v>
      </c>
      <c r="B51" t="s">
        <v>140</v>
      </c>
      <c r="C51" t="s">
        <v>140</v>
      </c>
      <c r="D51" t="s">
        <v>140</v>
      </c>
      <c r="E51" t="s">
        <v>102</v>
      </c>
      <c r="F51" t="s">
        <v>32</v>
      </c>
      <c r="G51" t="s">
        <v>36</v>
      </c>
      <c r="H51" t="s">
        <v>24</v>
      </c>
      <c r="I51" t="s">
        <v>32</v>
      </c>
      <c r="J51" t="s">
        <v>25</v>
      </c>
      <c r="K51">
        <v>217</v>
      </c>
      <c r="L51">
        <v>2</v>
      </c>
      <c r="M51">
        <v>117</v>
      </c>
      <c r="N51">
        <v>10</v>
      </c>
      <c r="O51" t="s">
        <v>26</v>
      </c>
      <c r="P51" t="s">
        <v>36</v>
      </c>
      <c r="Q51">
        <v>100</v>
      </c>
      <c r="S51">
        <v>23</v>
      </c>
      <c r="T51" t="s">
        <v>69</v>
      </c>
      <c r="U51" t="s">
        <v>69</v>
      </c>
      <c r="V51">
        <v>61</v>
      </c>
      <c r="W51">
        <v>1900</v>
      </c>
      <c r="X51" t="s">
        <v>193</v>
      </c>
    </row>
    <row r="52" spans="1:24" x14ac:dyDescent="0.3">
      <c r="A52">
        <v>51</v>
      </c>
      <c r="B52" t="s">
        <v>141</v>
      </c>
      <c r="C52" t="s">
        <v>141</v>
      </c>
      <c r="D52" t="s">
        <v>141</v>
      </c>
      <c r="E52" t="s">
        <v>47</v>
      </c>
      <c r="F52" t="s">
        <v>48</v>
      </c>
      <c r="G52" t="s">
        <v>31</v>
      </c>
      <c r="H52" t="s">
        <v>24</v>
      </c>
      <c r="I52" t="s">
        <v>31</v>
      </c>
      <c r="J52" t="s">
        <v>25</v>
      </c>
      <c r="K52">
        <v>224</v>
      </c>
      <c r="L52">
        <v>6</v>
      </c>
      <c r="M52">
        <v>186</v>
      </c>
      <c r="N52">
        <v>6</v>
      </c>
      <c r="O52" t="s">
        <v>26</v>
      </c>
      <c r="P52" t="s">
        <v>48</v>
      </c>
      <c r="Q52">
        <v>38</v>
      </c>
      <c r="S52">
        <v>0</v>
      </c>
      <c r="T52" t="s">
        <v>60</v>
      </c>
      <c r="U52" t="s">
        <v>89</v>
      </c>
      <c r="V52">
        <v>76</v>
      </c>
      <c r="W52">
        <v>1900</v>
      </c>
      <c r="X52" t="s">
        <v>193</v>
      </c>
    </row>
    <row r="53" spans="1:24" x14ac:dyDescent="0.3">
      <c r="A53">
        <v>52</v>
      </c>
      <c r="B53" t="s">
        <v>142</v>
      </c>
      <c r="C53" t="s">
        <v>142</v>
      </c>
      <c r="D53" t="s">
        <v>142</v>
      </c>
      <c r="E53" t="s">
        <v>74</v>
      </c>
      <c r="F53" t="s">
        <v>23</v>
      </c>
      <c r="G53" t="s">
        <v>35</v>
      </c>
      <c r="H53" t="s">
        <v>24</v>
      </c>
      <c r="I53" t="s">
        <v>35</v>
      </c>
      <c r="J53" t="s">
        <v>25</v>
      </c>
      <c r="K53">
        <v>213</v>
      </c>
      <c r="L53">
        <v>5</v>
      </c>
      <c r="M53">
        <v>211</v>
      </c>
      <c r="N53">
        <v>5</v>
      </c>
      <c r="O53" t="s">
        <v>26</v>
      </c>
      <c r="P53" t="s">
        <v>23</v>
      </c>
      <c r="Q53">
        <v>2</v>
      </c>
      <c r="S53">
        <v>0</v>
      </c>
      <c r="T53" t="s">
        <v>143</v>
      </c>
      <c r="U53" t="s">
        <v>144</v>
      </c>
      <c r="V53">
        <v>94</v>
      </c>
      <c r="W53">
        <v>1900</v>
      </c>
      <c r="X53" t="s">
        <v>193</v>
      </c>
    </row>
    <row r="54" spans="1:24" x14ac:dyDescent="0.3">
      <c r="A54">
        <v>53</v>
      </c>
      <c r="B54" t="s">
        <v>145</v>
      </c>
      <c r="C54" t="s">
        <v>145</v>
      </c>
      <c r="D54" t="s">
        <v>145</v>
      </c>
      <c r="E54" t="s">
        <v>21</v>
      </c>
      <c r="F54" t="s">
        <v>22</v>
      </c>
      <c r="G54" t="s">
        <v>32</v>
      </c>
      <c r="H54" t="s">
        <v>24</v>
      </c>
      <c r="I54" t="s">
        <v>22</v>
      </c>
      <c r="J54" t="s">
        <v>63</v>
      </c>
      <c r="K54">
        <v>206</v>
      </c>
      <c r="L54">
        <v>4</v>
      </c>
      <c r="M54">
        <v>205</v>
      </c>
      <c r="N54">
        <v>8</v>
      </c>
      <c r="O54" t="s">
        <v>26</v>
      </c>
      <c r="P54" t="s">
        <v>22</v>
      </c>
      <c r="Q54">
        <v>1</v>
      </c>
      <c r="S54">
        <v>0</v>
      </c>
      <c r="T54" t="s">
        <v>146</v>
      </c>
      <c r="U54" t="s">
        <v>147</v>
      </c>
      <c r="V54">
        <v>95</v>
      </c>
      <c r="W54">
        <v>1900</v>
      </c>
      <c r="X54" t="s">
        <v>193</v>
      </c>
    </row>
    <row r="55" spans="1:24" x14ac:dyDescent="0.3">
      <c r="A55">
        <v>54</v>
      </c>
      <c r="B55" t="s">
        <v>145</v>
      </c>
      <c r="C55" t="s">
        <v>145</v>
      </c>
      <c r="D55" t="s">
        <v>145</v>
      </c>
      <c r="E55" t="s">
        <v>148</v>
      </c>
      <c r="F55" t="s">
        <v>49</v>
      </c>
      <c r="G55" t="s">
        <v>42</v>
      </c>
      <c r="H55" t="s">
        <v>24</v>
      </c>
      <c r="I55" t="s">
        <v>42</v>
      </c>
      <c r="J55" t="s">
        <v>25</v>
      </c>
      <c r="K55">
        <v>236</v>
      </c>
      <c r="L55">
        <v>5</v>
      </c>
      <c r="M55">
        <v>199</v>
      </c>
      <c r="N55">
        <v>7</v>
      </c>
      <c r="O55" t="s">
        <v>26</v>
      </c>
      <c r="P55" t="s">
        <v>49</v>
      </c>
      <c r="Q55">
        <v>37</v>
      </c>
      <c r="S55">
        <v>0</v>
      </c>
      <c r="T55" t="s">
        <v>72</v>
      </c>
      <c r="U55" t="s">
        <v>72</v>
      </c>
      <c r="V55">
        <v>91</v>
      </c>
      <c r="W55">
        <v>1900</v>
      </c>
      <c r="X55" t="s">
        <v>193</v>
      </c>
    </row>
    <row r="56" spans="1:24" x14ac:dyDescent="0.3">
      <c r="A56">
        <v>55</v>
      </c>
      <c r="B56" t="s">
        <v>149</v>
      </c>
      <c r="C56" t="s">
        <v>149</v>
      </c>
      <c r="D56" t="s">
        <v>149</v>
      </c>
      <c r="E56" t="s">
        <v>30</v>
      </c>
      <c r="F56" t="s">
        <v>31</v>
      </c>
      <c r="G56" t="s">
        <v>41</v>
      </c>
      <c r="H56" t="s">
        <v>24</v>
      </c>
      <c r="I56" t="s">
        <v>31</v>
      </c>
      <c r="J56" t="s">
        <v>25</v>
      </c>
      <c r="K56">
        <v>133</v>
      </c>
      <c r="L56">
        <v>7</v>
      </c>
      <c r="O56" t="s">
        <v>132</v>
      </c>
      <c r="W56">
        <v>1900</v>
      </c>
      <c r="X56" t="s">
        <v>193</v>
      </c>
    </row>
    <row r="57" spans="1:24" x14ac:dyDescent="0.3">
      <c r="A57">
        <v>56</v>
      </c>
      <c r="B57" t="s">
        <v>150</v>
      </c>
      <c r="C57" t="s">
        <v>150</v>
      </c>
      <c r="D57" t="s">
        <v>150</v>
      </c>
      <c r="E57" t="s">
        <v>67</v>
      </c>
      <c r="F57" t="s">
        <v>36</v>
      </c>
      <c r="G57" t="s">
        <v>48</v>
      </c>
      <c r="H57" t="s">
        <v>24</v>
      </c>
      <c r="I57" t="s">
        <v>48</v>
      </c>
      <c r="J57" t="s">
        <v>25</v>
      </c>
      <c r="K57">
        <v>155</v>
      </c>
      <c r="L57">
        <v>8</v>
      </c>
      <c r="M57">
        <v>147</v>
      </c>
      <c r="N57">
        <v>7</v>
      </c>
      <c r="O57" t="s">
        <v>26</v>
      </c>
      <c r="P57" t="s">
        <v>48</v>
      </c>
      <c r="R57">
        <v>3</v>
      </c>
      <c r="S57">
        <v>0</v>
      </c>
      <c r="T57" t="s">
        <v>89</v>
      </c>
      <c r="U57" t="s">
        <v>116</v>
      </c>
      <c r="V57">
        <v>53</v>
      </c>
      <c r="W57">
        <v>1900</v>
      </c>
      <c r="X57" t="s">
        <v>193</v>
      </c>
    </row>
    <row r="58" spans="1:24" x14ac:dyDescent="0.3">
      <c r="A58">
        <v>57</v>
      </c>
      <c r="B58" t="s">
        <v>151</v>
      </c>
      <c r="C58" t="s">
        <v>151</v>
      </c>
      <c r="D58" t="s">
        <v>151</v>
      </c>
      <c r="E58" t="s">
        <v>21</v>
      </c>
      <c r="F58" t="s">
        <v>22</v>
      </c>
      <c r="G58" t="s">
        <v>35</v>
      </c>
      <c r="H58" t="s">
        <v>24</v>
      </c>
      <c r="I58" t="s">
        <v>22</v>
      </c>
      <c r="J58" t="s">
        <v>63</v>
      </c>
      <c r="K58">
        <v>179</v>
      </c>
      <c r="L58">
        <v>6</v>
      </c>
      <c r="M58">
        <v>183</v>
      </c>
      <c r="N58">
        <v>8</v>
      </c>
      <c r="O58" t="s">
        <v>26</v>
      </c>
      <c r="P58" t="s">
        <v>35</v>
      </c>
      <c r="R58">
        <v>2</v>
      </c>
      <c r="S58">
        <v>2</v>
      </c>
      <c r="T58" t="s">
        <v>37</v>
      </c>
      <c r="U58" t="s">
        <v>152</v>
      </c>
      <c r="V58">
        <v>52</v>
      </c>
      <c r="W58">
        <v>1900</v>
      </c>
      <c r="X58" t="s">
        <v>193</v>
      </c>
    </row>
    <row r="59" spans="1:24" x14ac:dyDescent="0.3">
      <c r="A59">
        <v>58</v>
      </c>
      <c r="B59" t="s">
        <v>153</v>
      </c>
      <c r="C59" t="s">
        <v>153</v>
      </c>
      <c r="D59" t="s">
        <v>153</v>
      </c>
      <c r="E59" t="s">
        <v>74</v>
      </c>
      <c r="F59" t="s">
        <v>23</v>
      </c>
      <c r="G59" t="s">
        <v>22</v>
      </c>
      <c r="H59" t="s">
        <v>24</v>
      </c>
      <c r="J59" t="s">
        <v>25</v>
      </c>
      <c r="O59" t="s">
        <v>132</v>
      </c>
      <c r="W59">
        <v>1900</v>
      </c>
      <c r="X59" t="s">
        <v>193</v>
      </c>
    </row>
    <row r="60" spans="1:24" x14ac:dyDescent="0.3">
      <c r="A60">
        <v>59</v>
      </c>
      <c r="B60" t="s">
        <v>154</v>
      </c>
      <c r="C60" t="s">
        <v>154</v>
      </c>
      <c r="D60" t="s">
        <v>154</v>
      </c>
      <c r="E60" t="s">
        <v>102</v>
      </c>
      <c r="F60" t="s">
        <v>32</v>
      </c>
      <c r="G60" t="s">
        <v>49</v>
      </c>
      <c r="H60" t="s">
        <v>24</v>
      </c>
      <c r="I60" t="s">
        <v>49</v>
      </c>
      <c r="J60" t="s">
        <v>63</v>
      </c>
      <c r="K60">
        <v>219</v>
      </c>
      <c r="L60">
        <v>5</v>
      </c>
      <c r="M60">
        <v>209</v>
      </c>
      <c r="N60">
        <v>7</v>
      </c>
      <c r="O60" t="s">
        <v>26</v>
      </c>
      <c r="P60" t="s">
        <v>49</v>
      </c>
      <c r="Q60">
        <v>10</v>
      </c>
      <c r="S60">
        <v>0</v>
      </c>
      <c r="T60" t="s">
        <v>155</v>
      </c>
      <c r="U60" t="s">
        <v>156</v>
      </c>
      <c r="V60">
        <v>70</v>
      </c>
      <c r="W60">
        <v>1900</v>
      </c>
      <c r="X60" t="s">
        <v>193</v>
      </c>
    </row>
    <row r="61" spans="1:24" x14ac:dyDescent="0.3">
      <c r="A61">
        <v>60</v>
      </c>
      <c r="B61" t="s">
        <v>154</v>
      </c>
      <c r="C61" t="s">
        <v>154</v>
      </c>
      <c r="D61" t="s">
        <v>154</v>
      </c>
      <c r="E61" t="s">
        <v>104</v>
      </c>
      <c r="F61" t="s">
        <v>41</v>
      </c>
      <c r="G61" t="s">
        <v>48</v>
      </c>
      <c r="H61" t="s">
        <v>24</v>
      </c>
      <c r="I61" t="s">
        <v>48</v>
      </c>
      <c r="J61" t="s">
        <v>25</v>
      </c>
      <c r="K61">
        <v>199</v>
      </c>
      <c r="L61">
        <v>3</v>
      </c>
      <c r="M61">
        <v>205</v>
      </c>
      <c r="N61">
        <v>0</v>
      </c>
      <c r="O61" t="s">
        <v>26</v>
      </c>
      <c r="P61" t="s">
        <v>48</v>
      </c>
      <c r="R61">
        <v>10</v>
      </c>
      <c r="S61">
        <v>6</v>
      </c>
      <c r="T61" t="s">
        <v>61</v>
      </c>
      <c r="U61" t="s">
        <v>61</v>
      </c>
      <c r="V61">
        <v>108</v>
      </c>
      <c r="W61">
        <v>1900</v>
      </c>
      <c r="X61" t="s">
        <v>193</v>
      </c>
    </row>
    <row r="62" spans="1:24" x14ac:dyDescent="0.3">
      <c r="A62">
        <v>61</v>
      </c>
      <c r="B62" t="s">
        <v>157</v>
      </c>
      <c r="C62" t="s">
        <v>157</v>
      </c>
      <c r="D62" t="s">
        <v>157</v>
      </c>
      <c r="E62" t="s">
        <v>71</v>
      </c>
      <c r="F62" t="s">
        <v>42</v>
      </c>
      <c r="G62" t="s">
        <v>31</v>
      </c>
      <c r="H62" t="s">
        <v>24</v>
      </c>
      <c r="I62" t="s">
        <v>31</v>
      </c>
      <c r="J62" t="s">
        <v>25</v>
      </c>
      <c r="K62">
        <v>205</v>
      </c>
      <c r="L62">
        <v>7</v>
      </c>
      <c r="M62">
        <v>206</v>
      </c>
      <c r="N62">
        <v>4</v>
      </c>
      <c r="O62" t="s">
        <v>26</v>
      </c>
      <c r="P62" t="s">
        <v>31</v>
      </c>
      <c r="R62">
        <v>6</v>
      </c>
      <c r="S62">
        <v>10</v>
      </c>
      <c r="T62" t="s">
        <v>99</v>
      </c>
      <c r="U62" t="s">
        <v>158</v>
      </c>
      <c r="V62">
        <v>65</v>
      </c>
      <c r="W62">
        <v>1900</v>
      </c>
      <c r="X62" t="s">
        <v>194</v>
      </c>
    </row>
    <row r="63" spans="1:24" x14ac:dyDescent="0.3">
      <c r="A63">
        <v>62</v>
      </c>
      <c r="B63" t="s">
        <v>159</v>
      </c>
      <c r="C63" t="s">
        <v>159</v>
      </c>
      <c r="D63" t="s">
        <v>159</v>
      </c>
      <c r="E63" t="s">
        <v>104</v>
      </c>
      <c r="F63" t="s">
        <v>35</v>
      </c>
      <c r="G63" t="s">
        <v>32</v>
      </c>
      <c r="H63" t="s">
        <v>24</v>
      </c>
      <c r="I63" t="s">
        <v>32</v>
      </c>
      <c r="J63" t="s">
        <v>25</v>
      </c>
      <c r="K63">
        <v>187</v>
      </c>
      <c r="L63">
        <v>8</v>
      </c>
      <c r="M63">
        <v>188</v>
      </c>
      <c r="N63">
        <v>4</v>
      </c>
      <c r="O63" t="s">
        <v>26</v>
      </c>
      <c r="P63" t="s">
        <v>32</v>
      </c>
      <c r="R63">
        <v>6</v>
      </c>
      <c r="S63">
        <v>17</v>
      </c>
      <c r="T63" t="s">
        <v>160</v>
      </c>
      <c r="U63" t="s">
        <v>135</v>
      </c>
      <c r="V63">
        <v>57</v>
      </c>
      <c r="W63">
        <v>1900</v>
      </c>
      <c r="X63" t="s">
        <v>194</v>
      </c>
    </row>
    <row r="64" spans="1:24" x14ac:dyDescent="0.3">
      <c r="A64">
        <v>63</v>
      </c>
      <c r="B64" t="s">
        <v>161</v>
      </c>
      <c r="C64" t="s">
        <v>161</v>
      </c>
      <c r="D64" t="s">
        <v>161</v>
      </c>
      <c r="E64" t="s">
        <v>67</v>
      </c>
      <c r="F64" t="s">
        <v>36</v>
      </c>
      <c r="G64" t="s">
        <v>41</v>
      </c>
      <c r="H64" t="s">
        <v>24</v>
      </c>
      <c r="I64" t="s">
        <v>41</v>
      </c>
      <c r="J64" t="s">
        <v>25</v>
      </c>
      <c r="K64">
        <v>180</v>
      </c>
      <c r="L64">
        <v>5</v>
      </c>
      <c r="M64">
        <v>121</v>
      </c>
      <c r="N64">
        <v>10</v>
      </c>
      <c r="O64" t="s">
        <v>26</v>
      </c>
      <c r="P64" t="s">
        <v>36</v>
      </c>
      <c r="Q64">
        <v>59</v>
      </c>
      <c r="S64">
        <v>10</v>
      </c>
      <c r="T64" t="s">
        <v>82</v>
      </c>
      <c r="U64" t="s">
        <v>82</v>
      </c>
      <c r="V64">
        <v>73</v>
      </c>
      <c r="W64">
        <v>1900</v>
      </c>
      <c r="X64" t="s">
        <v>194</v>
      </c>
    </row>
    <row r="65" spans="1:24" x14ac:dyDescent="0.3">
      <c r="A65">
        <v>64</v>
      </c>
      <c r="B65" t="s">
        <v>162</v>
      </c>
      <c r="C65" t="s">
        <v>162</v>
      </c>
      <c r="D65" t="s">
        <v>162</v>
      </c>
      <c r="E65" t="s">
        <v>47</v>
      </c>
      <c r="F65" t="s">
        <v>48</v>
      </c>
      <c r="G65" t="s">
        <v>42</v>
      </c>
      <c r="H65" t="s">
        <v>24</v>
      </c>
      <c r="I65" t="s">
        <v>48</v>
      </c>
      <c r="J65" t="s">
        <v>25</v>
      </c>
      <c r="K65">
        <v>235</v>
      </c>
      <c r="L65">
        <v>2</v>
      </c>
      <c r="M65">
        <v>202</v>
      </c>
      <c r="N65">
        <v>9</v>
      </c>
      <c r="O65" t="s">
        <v>26</v>
      </c>
      <c r="P65" t="s">
        <v>42</v>
      </c>
      <c r="Q65">
        <v>33</v>
      </c>
      <c r="S65">
        <v>0</v>
      </c>
      <c r="T65" t="s">
        <v>158</v>
      </c>
      <c r="U65" t="s">
        <v>158</v>
      </c>
      <c r="V65">
        <v>117</v>
      </c>
      <c r="W65">
        <v>1900</v>
      </c>
      <c r="X65" t="s">
        <v>194</v>
      </c>
    </row>
    <row r="66" spans="1:24" x14ac:dyDescent="0.3">
      <c r="A66">
        <v>65</v>
      </c>
      <c r="B66" t="s">
        <v>163</v>
      </c>
      <c r="C66" t="s">
        <v>163</v>
      </c>
      <c r="D66" t="s">
        <v>163</v>
      </c>
      <c r="E66" t="s">
        <v>71</v>
      </c>
      <c r="F66" t="s">
        <v>23</v>
      </c>
      <c r="G66" t="s">
        <v>31</v>
      </c>
      <c r="H66" t="s">
        <v>24</v>
      </c>
      <c r="I66" t="s">
        <v>23</v>
      </c>
      <c r="J66" t="s">
        <v>25</v>
      </c>
      <c r="K66">
        <v>231</v>
      </c>
      <c r="L66">
        <v>6</v>
      </c>
      <c r="M66">
        <v>189</v>
      </c>
      <c r="N66">
        <v>10</v>
      </c>
      <c r="O66" t="s">
        <v>26</v>
      </c>
      <c r="P66" t="s">
        <v>31</v>
      </c>
      <c r="Q66">
        <v>42</v>
      </c>
      <c r="S66">
        <v>1</v>
      </c>
      <c r="T66" t="s">
        <v>33</v>
      </c>
      <c r="U66" t="s">
        <v>33</v>
      </c>
      <c r="V66">
        <v>94</v>
      </c>
      <c r="W66">
        <v>1900</v>
      </c>
      <c r="X66" t="s">
        <v>194</v>
      </c>
    </row>
    <row r="67" spans="1:24" x14ac:dyDescent="0.3">
      <c r="A67">
        <v>66</v>
      </c>
      <c r="B67" t="s">
        <v>164</v>
      </c>
      <c r="C67" t="s">
        <v>164</v>
      </c>
      <c r="D67" t="s">
        <v>164</v>
      </c>
      <c r="E67" t="s">
        <v>102</v>
      </c>
      <c r="F67" t="s">
        <v>49</v>
      </c>
      <c r="G67" t="s">
        <v>41</v>
      </c>
      <c r="H67" t="s">
        <v>24</v>
      </c>
      <c r="I67" t="s">
        <v>41</v>
      </c>
      <c r="J67" t="s">
        <v>25</v>
      </c>
      <c r="K67">
        <v>206</v>
      </c>
      <c r="L67">
        <v>8</v>
      </c>
      <c r="M67">
        <v>208</v>
      </c>
      <c r="N67">
        <v>4</v>
      </c>
      <c r="O67" t="s">
        <v>26</v>
      </c>
      <c r="P67" t="s">
        <v>41</v>
      </c>
      <c r="R67">
        <v>6</v>
      </c>
      <c r="S67">
        <v>3</v>
      </c>
      <c r="T67" t="s">
        <v>165</v>
      </c>
      <c r="U67" t="s">
        <v>165</v>
      </c>
      <c r="V67">
        <v>58</v>
      </c>
      <c r="W67">
        <v>1900</v>
      </c>
      <c r="X67" t="s">
        <v>194</v>
      </c>
    </row>
    <row r="68" spans="1:24" x14ac:dyDescent="0.3">
      <c r="A68">
        <v>67</v>
      </c>
      <c r="B68" t="s">
        <v>166</v>
      </c>
      <c r="C68" t="s">
        <v>166</v>
      </c>
      <c r="D68" t="s">
        <v>166</v>
      </c>
      <c r="E68" t="s">
        <v>47</v>
      </c>
      <c r="F68" t="s">
        <v>48</v>
      </c>
      <c r="G68" t="s">
        <v>35</v>
      </c>
      <c r="H68" t="s">
        <v>24</v>
      </c>
      <c r="I68" t="s">
        <v>35</v>
      </c>
      <c r="J68" t="s">
        <v>63</v>
      </c>
      <c r="K68">
        <v>230</v>
      </c>
      <c r="L68">
        <v>5</v>
      </c>
      <c r="M68">
        <v>147</v>
      </c>
      <c r="N68">
        <v>10</v>
      </c>
      <c r="O68" t="s">
        <v>26</v>
      </c>
      <c r="P68" t="s">
        <v>35</v>
      </c>
      <c r="Q68">
        <v>83</v>
      </c>
      <c r="S68">
        <v>9</v>
      </c>
      <c r="T68" t="s">
        <v>152</v>
      </c>
      <c r="U68" t="s">
        <v>152</v>
      </c>
      <c r="V68">
        <v>57</v>
      </c>
      <c r="W68">
        <v>1900</v>
      </c>
      <c r="X68" t="s">
        <v>194</v>
      </c>
    </row>
    <row r="69" spans="1:24" x14ac:dyDescent="0.3">
      <c r="A69">
        <v>68</v>
      </c>
      <c r="B69" t="s">
        <v>166</v>
      </c>
      <c r="C69" t="s">
        <v>166</v>
      </c>
      <c r="D69" t="s">
        <v>166</v>
      </c>
      <c r="E69" t="s">
        <v>104</v>
      </c>
      <c r="F69" t="s">
        <v>22</v>
      </c>
      <c r="G69" t="s">
        <v>31</v>
      </c>
      <c r="H69" t="s">
        <v>24</v>
      </c>
      <c r="I69" t="s">
        <v>31</v>
      </c>
      <c r="J69" t="s">
        <v>63</v>
      </c>
      <c r="K69">
        <v>278</v>
      </c>
      <c r="L69">
        <v>3</v>
      </c>
      <c r="M69">
        <v>168</v>
      </c>
      <c r="N69">
        <v>10</v>
      </c>
      <c r="O69" t="s">
        <v>26</v>
      </c>
      <c r="P69" t="s">
        <v>31</v>
      </c>
      <c r="Q69">
        <v>110</v>
      </c>
      <c r="S69">
        <v>8</v>
      </c>
      <c r="T69" t="s">
        <v>128</v>
      </c>
      <c r="U69" t="s">
        <v>128</v>
      </c>
      <c r="V69">
        <v>105</v>
      </c>
      <c r="W69">
        <v>1900</v>
      </c>
      <c r="X69" t="s">
        <v>194</v>
      </c>
    </row>
    <row r="70" spans="1:24" x14ac:dyDescent="0.3">
      <c r="A70">
        <v>69</v>
      </c>
      <c r="B70" t="s">
        <v>167</v>
      </c>
      <c r="C70" t="s">
        <v>167</v>
      </c>
      <c r="D70" t="s">
        <v>167</v>
      </c>
      <c r="E70" t="s">
        <v>102</v>
      </c>
      <c r="F70" t="s">
        <v>49</v>
      </c>
      <c r="G70" t="s">
        <v>36</v>
      </c>
      <c r="H70" t="s">
        <v>24</v>
      </c>
      <c r="I70" t="s">
        <v>49</v>
      </c>
      <c r="J70" t="s">
        <v>25</v>
      </c>
      <c r="K70">
        <v>184</v>
      </c>
      <c r="L70">
        <v>7</v>
      </c>
      <c r="M70">
        <v>187</v>
      </c>
      <c r="N70">
        <v>3</v>
      </c>
      <c r="O70" t="s">
        <v>26</v>
      </c>
      <c r="P70" t="s">
        <v>49</v>
      </c>
      <c r="R70">
        <v>7</v>
      </c>
      <c r="S70">
        <v>9</v>
      </c>
      <c r="T70" t="s">
        <v>168</v>
      </c>
      <c r="U70" t="s">
        <v>168</v>
      </c>
      <c r="V70">
        <v>73</v>
      </c>
      <c r="W70">
        <v>1900</v>
      </c>
      <c r="X70" t="s">
        <v>194</v>
      </c>
    </row>
    <row r="71" spans="1:24" x14ac:dyDescent="0.3">
      <c r="A71">
        <v>70</v>
      </c>
      <c r="B71" t="s">
        <v>169</v>
      </c>
      <c r="C71" t="s">
        <v>169</v>
      </c>
      <c r="D71" t="s">
        <v>169</v>
      </c>
      <c r="E71" t="s">
        <v>71</v>
      </c>
      <c r="F71" t="s">
        <v>42</v>
      </c>
      <c r="G71" t="s">
        <v>23</v>
      </c>
      <c r="H71" t="s">
        <v>24</v>
      </c>
      <c r="I71" t="s">
        <v>23</v>
      </c>
      <c r="J71" t="s">
        <v>25</v>
      </c>
      <c r="K71">
        <v>227</v>
      </c>
      <c r="L71">
        <v>3</v>
      </c>
      <c r="M71">
        <v>230</v>
      </c>
      <c r="N71">
        <v>4</v>
      </c>
      <c r="O71" t="s">
        <v>26</v>
      </c>
      <c r="P71" t="s">
        <v>23</v>
      </c>
      <c r="R71">
        <v>6</v>
      </c>
      <c r="S71">
        <v>8</v>
      </c>
      <c r="T71" t="s">
        <v>170</v>
      </c>
      <c r="U71" t="s">
        <v>109</v>
      </c>
      <c r="V71">
        <v>118</v>
      </c>
      <c r="W71">
        <v>1900</v>
      </c>
      <c r="X71" t="s">
        <v>194</v>
      </c>
    </row>
    <row r="72" spans="1:24" x14ac:dyDescent="0.3">
      <c r="A72">
        <v>71</v>
      </c>
      <c r="B72" t="s">
        <v>171</v>
      </c>
      <c r="C72" t="s">
        <v>171</v>
      </c>
      <c r="D72" t="s">
        <v>171</v>
      </c>
      <c r="E72" t="s">
        <v>85</v>
      </c>
      <c r="F72" t="s">
        <v>49</v>
      </c>
      <c r="G72" t="s">
        <v>23</v>
      </c>
      <c r="H72" t="s">
        <v>172</v>
      </c>
      <c r="I72" t="s">
        <v>23</v>
      </c>
      <c r="J72" t="s">
        <v>25</v>
      </c>
      <c r="K72">
        <v>101</v>
      </c>
      <c r="L72">
        <v>10</v>
      </c>
      <c r="M72">
        <v>106</v>
      </c>
      <c r="N72">
        <v>2</v>
      </c>
      <c r="O72" t="s">
        <v>26</v>
      </c>
      <c r="P72" t="s">
        <v>23</v>
      </c>
      <c r="R72">
        <v>8</v>
      </c>
      <c r="S72">
        <v>60</v>
      </c>
      <c r="T72" t="s">
        <v>173</v>
      </c>
      <c r="U72" t="s">
        <v>103</v>
      </c>
      <c r="V72">
        <v>56</v>
      </c>
      <c r="W72">
        <v>1900</v>
      </c>
      <c r="X72" t="s">
        <v>194</v>
      </c>
    </row>
    <row r="73" spans="1:24" x14ac:dyDescent="0.3">
      <c r="A73">
        <v>72</v>
      </c>
      <c r="B73" t="s">
        <v>174</v>
      </c>
      <c r="C73" t="s">
        <v>174</v>
      </c>
      <c r="D73" t="s">
        <v>174</v>
      </c>
      <c r="E73" t="s">
        <v>85</v>
      </c>
      <c r="F73" t="s">
        <v>48</v>
      </c>
      <c r="G73" t="s">
        <v>36</v>
      </c>
      <c r="H73" t="s">
        <v>172</v>
      </c>
      <c r="I73" t="s">
        <v>36</v>
      </c>
      <c r="J73" t="s">
        <v>63</v>
      </c>
      <c r="K73">
        <v>228</v>
      </c>
      <c r="L73">
        <v>5</v>
      </c>
      <c r="M73">
        <v>208</v>
      </c>
      <c r="N73">
        <v>6</v>
      </c>
      <c r="O73" t="s">
        <v>26</v>
      </c>
      <c r="P73" t="s">
        <v>36</v>
      </c>
      <c r="Q73">
        <v>20</v>
      </c>
      <c r="S73">
        <v>0</v>
      </c>
      <c r="T73" t="s">
        <v>122</v>
      </c>
      <c r="U73" t="s">
        <v>122</v>
      </c>
      <c r="V73">
        <v>81</v>
      </c>
      <c r="W73">
        <v>1900</v>
      </c>
      <c r="X73" t="s">
        <v>194</v>
      </c>
    </row>
    <row r="74" spans="1:24" x14ac:dyDescent="0.3">
      <c r="A74">
        <v>73</v>
      </c>
      <c r="B74" t="s">
        <v>175</v>
      </c>
      <c r="C74" t="s">
        <v>175</v>
      </c>
      <c r="D74" t="s">
        <v>175</v>
      </c>
      <c r="E74" t="s">
        <v>47</v>
      </c>
      <c r="F74" t="s">
        <v>49</v>
      </c>
      <c r="G74" t="s">
        <v>36</v>
      </c>
      <c r="H74" t="s">
        <v>172</v>
      </c>
      <c r="I74" t="s">
        <v>49</v>
      </c>
      <c r="J74" t="s">
        <v>25</v>
      </c>
      <c r="K74">
        <v>203</v>
      </c>
      <c r="L74">
        <v>6</v>
      </c>
      <c r="M74">
        <v>207</v>
      </c>
      <c r="N74">
        <v>5</v>
      </c>
      <c r="O74" t="s">
        <v>26</v>
      </c>
      <c r="P74" t="s">
        <v>49</v>
      </c>
      <c r="R74">
        <v>5</v>
      </c>
      <c r="S74">
        <v>6</v>
      </c>
      <c r="T74" t="s">
        <v>50</v>
      </c>
      <c r="U74" t="s">
        <v>50</v>
      </c>
      <c r="V74">
        <v>87</v>
      </c>
      <c r="W74">
        <v>1900</v>
      </c>
      <c r="X74" t="s">
        <v>194</v>
      </c>
    </row>
    <row r="75" spans="1:24" x14ac:dyDescent="0.3">
      <c r="A75">
        <v>74</v>
      </c>
      <c r="B75" t="s">
        <v>176</v>
      </c>
      <c r="C75" t="s">
        <v>176</v>
      </c>
      <c r="D75" t="s">
        <v>176</v>
      </c>
      <c r="E75" t="s">
        <v>47</v>
      </c>
      <c r="F75" t="s">
        <v>23</v>
      </c>
      <c r="G75" t="s">
        <v>49</v>
      </c>
      <c r="H75" t="s">
        <v>177</v>
      </c>
      <c r="I75" t="s">
        <v>49</v>
      </c>
      <c r="J75" t="s">
        <v>25</v>
      </c>
      <c r="K75">
        <v>190</v>
      </c>
      <c r="L75">
        <v>9</v>
      </c>
      <c r="M75">
        <v>184</v>
      </c>
      <c r="N75">
        <v>7</v>
      </c>
      <c r="O75" t="s">
        <v>26</v>
      </c>
      <c r="P75" t="s">
        <v>23</v>
      </c>
      <c r="Q75">
        <v>6</v>
      </c>
      <c r="S75">
        <v>0</v>
      </c>
      <c r="T75" t="s">
        <v>27</v>
      </c>
      <c r="U75" t="s">
        <v>178</v>
      </c>
      <c r="V75">
        <v>61</v>
      </c>
      <c r="W75">
        <v>1900</v>
      </c>
      <c r="X75" t="s">
        <v>194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4F008-78E0-484E-9D06-AC9CCD08AC21}">
  <sheetPr codeName="Sheet1"/>
  <dimension ref="A1:O364"/>
  <sheetViews>
    <sheetView topLeftCell="A265" workbookViewId="0"/>
  </sheetViews>
  <sheetFormatPr defaultRowHeight="14.4" x14ac:dyDescent="0.3"/>
  <cols>
    <col min="1" max="1" width="12.44140625" bestFit="1" customWidth="1"/>
    <col min="2" max="2" width="12.21875" bestFit="1" customWidth="1"/>
    <col min="3" max="3" width="6" bestFit="1" customWidth="1"/>
    <col min="4" max="4" width="10.5546875" bestFit="1" customWidth="1"/>
    <col min="5" max="5" width="19.88671875" bestFit="1" customWidth="1"/>
    <col min="6" max="6" width="28.44140625" bestFit="1" customWidth="1"/>
    <col min="7" max="7" width="25.5546875" bestFit="1" customWidth="1"/>
    <col min="8" max="8" width="32" bestFit="1" customWidth="1"/>
    <col min="9" max="9" width="31.5546875" bestFit="1" customWidth="1"/>
    <col min="10" max="10" width="32.21875" bestFit="1" customWidth="1"/>
    <col min="11" max="11" width="32.109375" bestFit="1" customWidth="1"/>
    <col min="12" max="12" width="40.77734375" bestFit="1" customWidth="1"/>
    <col min="13" max="13" width="27.88671875" bestFit="1" customWidth="1"/>
    <col min="14" max="14" width="25.21875" bestFit="1" customWidth="1"/>
    <col min="15" max="15" width="10.5546875" bestFit="1" customWidth="1"/>
  </cols>
  <sheetData>
    <row r="1" spans="1:2" x14ac:dyDescent="0.3">
      <c r="A1" t="s">
        <v>181</v>
      </c>
    </row>
    <row r="2" spans="1:2" x14ac:dyDescent="0.3">
      <c r="A2" s="2">
        <v>13852</v>
      </c>
    </row>
    <row r="4" spans="1:2" x14ac:dyDescent="0.3">
      <c r="A4" t="s">
        <v>182</v>
      </c>
    </row>
    <row r="5" spans="1:2" x14ac:dyDescent="0.3">
      <c r="A5" s="2">
        <v>1095</v>
      </c>
    </row>
    <row r="7" spans="1:2" x14ac:dyDescent="0.3">
      <c r="A7" s="3" t="s">
        <v>183</v>
      </c>
      <c r="B7" t="s">
        <v>185</v>
      </c>
    </row>
    <row r="8" spans="1:2" x14ac:dyDescent="0.3">
      <c r="A8" s="4" t="s">
        <v>63</v>
      </c>
      <c r="B8" s="2">
        <v>12</v>
      </c>
    </row>
    <row r="9" spans="1:2" x14ac:dyDescent="0.3">
      <c r="A9" s="4" t="s">
        <v>184</v>
      </c>
      <c r="B9" s="2">
        <v>12</v>
      </c>
    </row>
    <row r="12" spans="1:2" x14ac:dyDescent="0.3">
      <c r="A12" s="3" t="s">
        <v>183</v>
      </c>
      <c r="B12" t="s">
        <v>181</v>
      </c>
    </row>
    <row r="13" spans="1:2" x14ac:dyDescent="0.3">
      <c r="A13" s="4" t="s">
        <v>70</v>
      </c>
      <c r="B13" s="2">
        <v>171</v>
      </c>
    </row>
    <row r="14" spans="1:2" x14ac:dyDescent="0.3">
      <c r="A14" s="5" t="s">
        <v>70</v>
      </c>
      <c r="B14" s="2">
        <v>171</v>
      </c>
    </row>
    <row r="15" spans="1:2" x14ac:dyDescent="0.3">
      <c r="A15" s="4" t="s">
        <v>73</v>
      </c>
      <c r="B15" s="2">
        <v>169</v>
      </c>
    </row>
    <row r="16" spans="1:2" x14ac:dyDescent="0.3">
      <c r="A16" s="5" t="s">
        <v>73</v>
      </c>
      <c r="B16" s="2">
        <v>169</v>
      </c>
    </row>
    <row r="17" spans="1:2" x14ac:dyDescent="0.3">
      <c r="A17" s="4" t="s">
        <v>77</v>
      </c>
      <c r="B17" s="2">
        <v>200</v>
      </c>
    </row>
    <row r="18" spans="1:2" x14ac:dyDescent="0.3">
      <c r="A18" s="5" t="s">
        <v>77</v>
      </c>
      <c r="B18" s="2">
        <v>200</v>
      </c>
    </row>
    <row r="19" spans="1:2" x14ac:dyDescent="0.3">
      <c r="A19" s="4" t="s">
        <v>80</v>
      </c>
      <c r="B19" s="2">
        <v>203</v>
      </c>
    </row>
    <row r="20" spans="1:2" x14ac:dyDescent="0.3">
      <c r="A20" s="5" t="s">
        <v>80</v>
      </c>
      <c r="B20" s="2">
        <v>203</v>
      </c>
    </row>
    <row r="21" spans="1:2" x14ac:dyDescent="0.3">
      <c r="A21" s="4" t="s">
        <v>83</v>
      </c>
      <c r="B21" s="2">
        <v>388</v>
      </c>
    </row>
    <row r="22" spans="1:2" x14ac:dyDescent="0.3">
      <c r="A22" s="5" t="s">
        <v>83</v>
      </c>
      <c r="B22" s="2">
        <v>388</v>
      </c>
    </row>
    <row r="23" spans="1:2" x14ac:dyDescent="0.3">
      <c r="A23" s="4" t="s">
        <v>88</v>
      </c>
      <c r="B23" s="2">
        <v>152</v>
      </c>
    </row>
    <row r="24" spans="1:2" x14ac:dyDescent="0.3">
      <c r="A24" s="5" t="s">
        <v>88</v>
      </c>
      <c r="B24" s="2">
        <v>152</v>
      </c>
    </row>
    <row r="25" spans="1:2" x14ac:dyDescent="0.3">
      <c r="A25" s="4" t="s">
        <v>90</v>
      </c>
      <c r="B25" s="2">
        <v>221</v>
      </c>
    </row>
    <row r="26" spans="1:2" x14ac:dyDescent="0.3">
      <c r="A26" s="5" t="s">
        <v>90</v>
      </c>
      <c r="B26" s="2">
        <v>221</v>
      </c>
    </row>
    <row r="27" spans="1:2" x14ac:dyDescent="0.3">
      <c r="A27" s="4" t="s">
        <v>91</v>
      </c>
      <c r="B27" s="2">
        <v>457</v>
      </c>
    </row>
    <row r="28" spans="1:2" x14ac:dyDescent="0.3">
      <c r="A28" s="5" t="s">
        <v>91</v>
      </c>
      <c r="B28" s="2">
        <v>457</v>
      </c>
    </row>
    <row r="29" spans="1:2" x14ac:dyDescent="0.3">
      <c r="A29" s="4" t="s">
        <v>93</v>
      </c>
      <c r="B29" s="2">
        <v>217</v>
      </c>
    </row>
    <row r="30" spans="1:2" x14ac:dyDescent="0.3">
      <c r="A30" s="5" t="s">
        <v>93</v>
      </c>
      <c r="B30" s="2">
        <v>217</v>
      </c>
    </row>
    <row r="31" spans="1:2" x14ac:dyDescent="0.3">
      <c r="A31" s="4" t="s">
        <v>94</v>
      </c>
      <c r="B31" s="2">
        <v>163</v>
      </c>
    </row>
    <row r="32" spans="1:2" x14ac:dyDescent="0.3">
      <c r="A32" s="5" t="s">
        <v>94</v>
      </c>
      <c r="B32" s="2">
        <v>163</v>
      </c>
    </row>
    <row r="33" spans="1:2" x14ac:dyDescent="0.3">
      <c r="A33" s="4" t="s">
        <v>95</v>
      </c>
      <c r="B33" s="2">
        <v>103</v>
      </c>
    </row>
    <row r="34" spans="1:2" x14ac:dyDescent="0.3">
      <c r="A34" s="5" t="s">
        <v>95</v>
      </c>
      <c r="B34" s="2">
        <v>103</v>
      </c>
    </row>
    <row r="35" spans="1:2" x14ac:dyDescent="0.3">
      <c r="A35" s="4" t="s">
        <v>97</v>
      </c>
      <c r="B35" s="2">
        <v>425</v>
      </c>
    </row>
    <row r="36" spans="1:2" x14ac:dyDescent="0.3">
      <c r="A36" s="5" t="s">
        <v>97</v>
      </c>
      <c r="B36" s="2">
        <v>425</v>
      </c>
    </row>
    <row r="37" spans="1:2" x14ac:dyDescent="0.3">
      <c r="A37" s="4" t="s">
        <v>101</v>
      </c>
      <c r="B37" s="2">
        <v>378</v>
      </c>
    </row>
    <row r="38" spans="1:2" x14ac:dyDescent="0.3">
      <c r="A38" s="5" t="s">
        <v>101</v>
      </c>
      <c r="B38" s="2">
        <v>378</v>
      </c>
    </row>
    <row r="39" spans="1:2" x14ac:dyDescent="0.3">
      <c r="A39" s="4" t="s">
        <v>107</v>
      </c>
      <c r="B39" s="2">
        <v>166</v>
      </c>
    </row>
    <row r="40" spans="1:2" x14ac:dyDescent="0.3">
      <c r="A40" s="5" t="s">
        <v>107</v>
      </c>
      <c r="B40" s="2">
        <v>166</v>
      </c>
    </row>
    <row r="41" spans="1:2" x14ac:dyDescent="0.3">
      <c r="A41" s="4" t="s">
        <v>110</v>
      </c>
      <c r="B41" s="2">
        <v>111</v>
      </c>
    </row>
    <row r="42" spans="1:2" x14ac:dyDescent="0.3">
      <c r="A42" s="5" t="s">
        <v>110</v>
      </c>
      <c r="B42" s="2">
        <v>111</v>
      </c>
    </row>
    <row r="43" spans="1:2" x14ac:dyDescent="0.3">
      <c r="A43" s="4" t="s">
        <v>113</v>
      </c>
      <c r="B43" s="2">
        <v>188</v>
      </c>
    </row>
    <row r="44" spans="1:2" x14ac:dyDescent="0.3">
      <c r="A44" s="5" t="s">
        <v>113</v>
      </c>
      <c r="B44" s="2">
        <v>188</v>
      </c>
    </row>
    <row r="45" spans="1:2" x14ac:dyDescent="0.3">
      <c r="A45" s="4" t="s">
        <v>115</v>
      </c>
      <c r="B45" s="2">
        <v>162</v>
      </c>
    </row>
    <row r="46" spans="1:2" x14ac:dyDescent="0.3">
      <c r="A46" s="5" t="s">
        <v>115</v>
      </c>
      <c r="B46" s="2">
        <v>162</v>
      </c>
    </row>
    <row r="47" spans="1:2" x14ac:dyDescent="0.3">
      <c r="A47" s="4" t="s">
        <v>117</v>
      </c>
      <c r="B47" s="2">
        <v>95</v>
      </c>
    </row>
    <row r="48" spans="1:2" x14ac:dyDescent="0.3">
      <c r="A48" s="5" t="s">
        <v>117</v>
      </c>
      <c r="B48" s="2">
        <v>95</v>
      </c>
    </row>
    <row r="49" spans="1:2" x14ac:dyDescent="0.3">
      <c r="A49" s="4" t="s">
        <v>119</v>
      </c>
      <c r="B49" s="2">
        <v>383</v>
      </c>
    </row>
    <row r="50" spans="1:2" x14ac:dyDescent="0.3">
      <c r="A50" s="5" t="s">
        <v>119</v>
      </c>
      <c r="B50" s="2">
        <v>383</v>
      </c>
    </row>
    <row r="51" spans="1:2" x14ac:dyDescent="0.3">
      <c r="A51" s="4" t="s">
        <v>121</v>
      </c>
      <c r="B51" s="2">
        <v>333</v>
      </c>
    </row>
    <row r="52" spans="1:2" x14ac:dyDescent="0.3">
      <c r="A52" s="5" t="s">
        <v>121</v>
      </c>
      <c r="B52" s="2">
        <v>333</v>
      </c>
    </row>
    <row r="53" spans="1:2" x14ac:dyDescent="0.3">
      <c r="A53" s="4" t="s">
        <v>123</v>
      </c>
      <c r="B53" s="2">
        <v>198</v>
      </c>
    </row>
    <row r="54" spans="1:2" x14ac:dyDescent="0.3">
      <c r="A54" s="5" t="s">
        <v>123</v>
      </c>
      <c r="B54" s="2">
        <v>198</v>
      </c>
    </row>
    <row r="55" spans="1:2" x14ac:dyDescent="0.3">
      <c r="A55" s="4" t="s">
        <v>124</v>
      </c>
      <c r="B55" s="2">
        <v>159</v>
      </c>
    </row>
    <row r="56" spans="1:2" x14ac:dyDescent="0.3">
      <c r="A56" s="5" t="s">
        <v>124</v>
      </c>
      <c r="B56" s="2">
        <v>159</v>
      </c>
    </row>
    <row r="57" spans="1:2" x14ac:dyDescent="0.3">
      <c r="A57" s="4" t="s">
        <v>126</v>
      </c>
      <c r="B57" s="2">
        <v>143</v>
      </c>
    </row>
    <row r="58" spans="1:2" x14ac:dyDescent="0.3">
      <c r="A58" s="5" t="s">
        <v>126</v>
      </c>
      <c r="B58" s="2">
        <v>143</v>
      </c>
    </row>
    <row r="59" spans="1:2" x14ac:dyDescent="0.3">
      <c r="A59" s="4" t="s">
        <v>129</v>
      </c>
      <c r="B59" s="2">
        <v>205</v>
      </c>
    </row>
    <row r="60" spans="1:2" x14ac:dyDescent="0.3">
      <c r="A60" s="5" t="s">
        <v>129</v>
      </c>
      <c r="B60" s="2">
        <v>205</v>
      </c>
    </row>
    <row r="61" spans="1:2" x14ac:dyDescent="0.3">
      <c r="A61" s="4" t="s">
        <v>130</v>
      </c>
      <c r="B61" s="2">
        <v>154</v>
      </c>
    </row>
    <row r="62" spans="1:2" x14ac:dyDescent="0.3">
      <c r="A62" s="5" t="s">
        <v>130</v>
      </c>
      <c r="B62" s="2">
        <v>154</v>
      </c>
    </row>
    <row r="63" spans="1:2" x14ac:dyDescent="0.3">
      <c r="A63" s="4" t="s">
        <v>131</v>
      </c>
      <c r="B63" s="2">
        <v>201</v>
      </c>
    </row>
    <row r="64" spans="1:2" x14ac:dyDescent="0.3">
      <c r="A64" s="5" t="s">
        <v>131</v>
      </c>
      <c r="B64" s="2">
        <v>201</v>
      </c>
    </row>
    <row r="65" spans="1:2" x14ac:dyDescent="0.3">
      <c r="A65" s="4" t="s">
        <v>133</v>
      </c>
      <c r="B65" s="2">
        <v>377</v>
      </c>
    </row>
    <row r="66" spans="1:2" x14ac:dyDescent="0.3">
      <c r="A66" s="5" t="s">
        <v>133</v>
      </c>
      <c r="B66" s="2">
        <v>377</v>
      </c>
    </row>
    <row r="67" spans="1:2" x14ac:dyDescent="0.3">
      <c r="A67" s="4" t="s">
        <v>134</v>
      </c>
      <c r="B67" s="2">
        <v>209</v>
      </c>
    </row>
    <row r="68" spans="1:2" x14ac:dyDescent="0.3">
      <c r="A68" s="5" t="s">
        <v>134</v>
      </c>
      <c r="B68" s="2">
        <v>209</v>
      </c>
    </row>
    <row r="69" spans="1:2" x14ac:dyDescent="0.3">
      <c r="A69" s="4" t="s">
        <v>136</v>
      </c>
      <c r="B69" s="2">
        <v>204</v>
      </c>
    </row>
    <row r="70" spans="1:2" x14ac:dyDescent="0.3">
      <c r="A70" s="5" t="s">
        <v>136</v>
      </c>
      <c r="B70" s="2">
        <v>204</v>
      </c>
    </row>
    <row r="71" spans="1:2" x14ac:dyDescent="0.3">
      <c r="A71" s="4" t="s">
        <v>138</v>
      </c>
      <c r="B71" s="2">
        <v>190</v>
      </c>
    </row>
    <row r="72" spans="1:2" x14ac:dyDescent="0.3">
      <c r="A72" s="5" t="s">
        <v>138</v>
      </c>
      <c r="B72" s="2">
        <v>190</v>
      </c>
    </row>
    <row r="73" spans="1:2" x14ac:dyDescent="0.3">
      <c r="A73" s="4" t="s">
        <v>175</v>
      </c>
      <c r="B73" s="2">
        <v>203</v>
      </c>
    </row>
    <row r="74" spans="1:2" x14ac:dyDescent="0.3">
      <c r="A74" s="5" t="s">
        <v>175</v>
      </c>
      <c r="B74" s="2">
        <v>203</v>
      </c>
    </row>
    <row r="75" spans="1:2" x14ac:dyDescent="0.3">
      <c r="A75" s="4" t="s">
        <v>176</v>
      </c>
      <c r="B75" s="2">
        <v>190</v>
      </c>
    </row>
    <row r="76" spans="1:2" x14ac:dyDescent="0.3">
      <c r="A76" s="5" t="s">
        <v>176</v>
      </c>
      <c r="B76" s="2">
        <v>190</v>
      </c>
    </row>
    <row r="77" spans="1:2" x14ac:dyDescent="0.3">
      <c r="A77" s="4" t="s">
        <v>20</v>
      </c>
      <c r="B77" s="2">
        <v>174</v>
      </c>
    </row>
    <row r="78" spans="1:2" x14ac:dyDescent="0.3">
      <c r="A78" s="5" t="s">
        <v>20</v>
      </c>
      <c r="B78" s="2">
        <v>174</v>
      </c>
    </row>
    <row r="79" spans="1:2" x14ac:dyDescent="0.3">
      <c r="A79" s="4" t="s">
        <v>29</v>
      </c>
      <c r="B79" s="2">
        <v>441</v>
      </c>
    </row>
    <row r="80" spans="1:2" x14ac:dyDescent="0.3">
      <c r="A80" s="5" t="s">
        <v>29</v>
      </c>
      <c r="B80" s="2">
        <v>441</v>
      </c>
    </row>
    <row r="81" spans="1:2" x14ac:dyDescent="0.3">
      <c r="A81" s="4" t="s">
        <v>39</v>
      </c>
      <c r="B81" s="2">
        <v>209</v>
      </c>
    </row>
    <row r="82" spans="1:2" x14ac:dyDescent="0.3">
      <c r="A82" s="5" t="s">
        <v>39</v>
      </c>
      <c r="B82" s="2">
        <v>209</v>
      </c>
    </row>
    <row r="83" spans="1:2" x14ac:dyDescent="0.3">
      <c r="A83" s="4" t="s">
        <v>46</v>
      </c>
      <c r="B83" s="2">
        <v>243</v>
      </c>
    </row>
    <row r="84" spans="1:2" x14ac:dyDescent="0.3">
      <c r="A84" s="5" t="s">
        <v>46</v>
      </c>
      <c r="B84" s="2">
        <v>243</v>
      </c>
    </row>
    <row r="85" spans="1:2" x14ac:dyDescent="0.3">
      <c r="A85" s="4" t="s">
        <v>51</v>
      </c>
      <c r="B85" s="2">
        <v>151</v>
      </c>
    </row>
    <row r="86" spans="1:2" x14ac:dyDescent="0.3">
      <c r="A86" s="5" t="s">
        <v>51</v>
      </c>
      <c r="B86" s="2">
        <v>151</v>
      </c>
    </row>
    <row r="87" spans="1:2" x14ac:dyDescent="0.3">
      <c r="A87" s="4" t="s">
        <v>54</v>
      </c>
      <c r="B87" s="2">
        <v>190</v>
      </c>
    </row>
    <row r="88" spans="1:2" x14ac:dyDescent="0.3">
      <c r="A88" s="5" t="s">
        <v>54</v>
      </c>
      <c r="B88" s="2">
        <v>190</v>
      </c>
    </row>
    <row r="89" spans="1:2" x14ac:dyDescent="0.3">
      <c r="A89" s="4" t="s">
        <v>56</v>
      </c>
      <c r="B89" s="2">
        <v>196</v>
      </c>
    </row>
    <row r="90" spans="1:2" x14ac:dyDescent="0.3">
      <c r="A90" s="5" t="s">
        <v>56</v>
      </c>
      <c r="B90" s="2">
        <v>196</v>
      </c>
    </row>
    <row r="91" spans="1:2" x14ac:dyDescent="0.3">
      <c r="A91" s="4" t="s">
        <v>59</v>
      </c>
      <c r="B91" s="2">
        <v>196</v>
      </c>
    </row>
    <row r="92" spans="1:2" x14ac:dyDescent="0.3">
      <c r="A92" s="5" t="s">
        <v>59</v>
      </c>
      <c r="B92" s="2">
        <v>196</v>
      </c>
    </row>
    <row r="93" spans="1:2" x14ac:dyDescent="0.3">
      <c r="A93" s="4" t="s">
        <v>62</v>
      </c>
      <c r="B93" s="2">
        <v>345</v>
      </c>
    </row>
    <row r="94" spans="1:2" x14ac:dyDescent="0.3">
      <c r="A94" s="5" t="s">
        <v>62</v>
      </c>
      <c r="B94" s="2">
        <v>345</v>
      </c>
    </row>
    <row r="95" spans="1:2" x14ac:dyDescent="0.3">
      <c r="A95" s="4" t="s">
        <v>66</v>
      </c>
      <c r="B95" s="2">
        <v>116</v>
      </c>
    </row>
    <row r="96" spans="1:2" x14ac:dyDescent="0.3">
      <c r="A96" s="5" t="s">
        <v>66</v>
      </c>
      <c r="B96" s="2">
        <v>116</v>
      </c>
    </row>
    <row r="97" spans="1:2" x14ac:dyDescent="0.3">
      <c r="A97" s="4" t="s">
        <v>140</v>
      </c>
      <c r="B97" s="2">
        <v>217</v>
      </c>
    </row>
    <row r="98" spans="1:2" x14ac:dyDescent="0.3">
      <c r="A98" s="5" t="s">
        <v>140</v>
      </c>
      <c r="B98" s="2">
        <v>217</v>
      </c>
    </row>
    <row r="99" spans="1:2" x14ac:dyDescent="0.3">
      <c r="A99" s="4" t="s">
        <v>153</v>
      </c>
      <c r="B99" s="2"/>
    </row>
    <row r="100" spans="1:2" x14ac:dyDescent="0.3">
      <c r="A100" s="5" t="s">
        <v>153</v>
      </c>
      <c r="B100" s="2"/>
    </row>
    <row r="101" spans="1:2" x14ac:dyDescent="0.3">
      <c r="A101" s="4" t="s">
        <v>154</v>
      </c>
      <c r="B101" s="2">
        <v>418</v>
      </c>
    </row>
    <row r="102" spans="1:2" x14ac:dyDescent="0.3">
      <c r="A102" s="5" t="s">
        <v>154</v>
      </c>
      <c r="B102" s="2">
        <v>418</v>
      </c>
    </row>
    <row r="103" spans="1:2" x14ac:dyDescent="0.3">
      <c r="A103" s="4" t="s">
        <v>157</v>
      </c>
      <c r="B103" s="2">
        <v>205</v>
      </c>
    </row>
    <row r="104" spans="1:2" x14ac:dyDescent="0.3">
      <c r="A104" s="5" t="s">
        <v>157</v>
      </c>
      <c r="B104" s="2">
        <v>205</v>
      </c>
    </row>
    <row r="105" spans="1:2" x14ac:dyDescent="0.3">
      <c r="A105" s="4" t="s">
        <v>141</v>
      </c>
      <c r="B105" s="2">
        <v>224</v>
      </c>
    </row>
    <row r="106" spans="1:2" x14ac:dyDescent="0.3">
      <c r="A106" s="5" t="s">
        <v>141</v>
      </c>
      <c r="B106" s="2">
        <v>224</v>
      </c>
    </row>
    <row r="107" spans="1:2" x14ac:dyDescent="0.3">
      <c r="A107" s="4" t="s">
        <v>159</v>
      </c>
      <c r="B107" s="2">
        <v>187</v>
      </c>
    </row>
    <row r="108" spans="1:2" x14ac:dyDescent="0.3">
      <c r="A108" s="5" t="s">
        <v>159</v>
      </c>
      <c r="B108" s="2">
        <v>187</v>
      </c>
    </row>
    <row r="109" spans="1:2" x14ac:dyDescent="0.3">
      <c r="A109" s="4" t="s">
        <v>161</v>
      </c>
      <c r="B109" s="2">
        <v>180</v>
      </c>
    </row>
    <row r="110" spans="1:2" x14ac:dyDescent="0.3">
      <c r="A110" s="5" t="s">
        <v>161</v>
      </c>
      <c r="B110" s="2">
        <v>180</v>
      </c>
    </row>
    <row r="111" spans="1:2" x14ac:dyDescent="0.3">
      <c r="A111" s="4" t="s">
        <v>162</v>
      </c>
      <c r="B111" s="2">
        <v>235</v>
      </c>
    </row>
    <row r="112" spans="1:2" x14ac:dyDescent="0.3">
      <c r="A112" s="5" t="s">
        <v>162</v>
      </c>
      <c r="B112" s="2">
        <v>235</v>
      </c>
    </row>
    <row r="113" spans="1:2" x14ac:dyDescent="0.3">
      <c r="A113" s="4" t="s">
        <v>163</v>
      </c>
      <c r="B113" s="2">
        <v>231</v>
      </c>
    </row>
    <row r="114" spans="1:2" x14ac:dyDescent="0.3">
      <c r="A114" s="5" t="s">
        <v>163</v>
      </c>
      <c r="B114" s="2">
        <v>231</v>
      </c>
    </row>
    <row r="115" spans="1:2" x14ac:dyDescent="0.3">
      <c r="A115" s="4" t="s">
        <v>164</v>
      </c>
      <c r="B115" s="2">
        <v>206</v>
      </c>
    </row>
    <row r="116" spans="1:2" x14ac:dyDescent="0.3">
      <c r="A116" s="5" t="s">
        <v>164</v>
      </c>
      <c r="B116" s="2">
        <v>206</v>
      </c>
    </row>
    <row r="117" spans="1:2" x14ac:dyDescent="0.3">
      <c r="A117" s="4" t="s">
        <v>166</v>
      </c>
      <c r="B117" s="2">
        <v>508</v>
      </c>
    </row>
    <row r="118" spans="1:2" x14ac:dyDescent="0.3">
      <c r="A118" s="5" t="s">
        <v>166</v>
      </c>
      <c r="B118" s="2">
        <v>508</v>
      </c>
    </row>
    <row r="119" spans="1:2" x14ac:dyDescent="0.3">
      <c r="A119" s="4" t="s">
        <v>167</v>
      </c>
      <c r="B119" s="2">
        <v>184</v>
      </c>
    </row>
    <row r="120" spans="1:2" x14ac:dyDescent="0.3">
      <c r="A120" s="5" t="s">
        <v>167</v>
      </c>
      <c r="B120" s="2">
        <v>184</v>
      </c>
    </row>
    <row r="121" spans="1:2" x14ac:dyDescent="0.3">
      <c r="A121" s="4" t="s">
        <v>169</v>
      </c>
      <c r="B121" s="2">
        <v>227</v>
      </c>
    </row>
    <row r="122" spans="1:2" x14ac:dyDescent="0.3">
      <c r="A122" s="5" t="s">
        <v>169</v>
      </c>
      <c r="B122" s="2">
        <v>227</v>
      </c>
    </row>
    <row r="123" spans="1:2" x14ac:dyDescent="0.3">
      <c r="A123" s="4" t="s">
        <v>171</v>
      </c>
      <c r="B123" s="2">
        <v>101</v>
      </c>
    </row>
    <row r="124" spans="1:2" x14ac:dyDescent="0.3">
      <c r="A124" s="5" t="s">
        <v>171</v>
      </c>
      <c r="B124" s="2">
        <v>101</v>
      </c>
    </row>
    <row r="125" spans="1:2" x14ac:dyDescent="0.3">
      <c r="A125" s="4" t="s">
        <v>142</v>
      </c>
      <c r="B125" s="2">
        <v>213</v>
      </c>
    </row>
    <row r="126" spans="1:2" x14ac:dyDescent="0.3">
      <c r="A126" s="5" t="s">
        <v>142</v>
      </c>
      <c r="B126" s="2">
        <v>213</v>
      </c>
    </row>
    <row r="127" spans="1:2" x14ac:dyDescent="0.3">
      <c r="A127" s="4" t="s">
        <v>174</v>
      </c>
      <c r="B127" s="2">
        <v>228</v>
      </c>
    </row>
    <row r="128" spans="1:2" x14ac:dyDescent="0.3">
      <c r="A128" s="5" t="s">
        <v>174</v>
      </c>
      <c r="B128" s="2">
        <v>228</v>
      </c>
    </row>
    <row r="129" spans="1:15" x14ac:dyDescent="0.3">
      <c r="A129" s="4" t="s">
        <v>145</v>
      </c>
      <c r="B129" s="2">
        <v>442</v>
      </c>
    </row>
    <row r="130" spans="1:15" x14ac:dyDescent="0.3">
      <c r="A130" s="5" t="s">
        <v>145</v>
      </c>
      <c r="B130" s="2">
        <v>442</v>
      </c>
    </row>
    <row r="131" spans="1:15" x14ac:dyDescent="0.3">
      <c r="A131" s="4" t="s">
        <v>149</v>
      </c>
      <c r="B131" s="2">
        <v>133</v>
      </c>
    </row>
    <row r="132" spans="1:15" x14ac:dyDescent="0.3">
      <c r="A132" s="5" t="s">
        <v>149</v>
      </c>
      <c r="B132" s="2">
        <v>133</v>
      </c>
    </row>
    <row r="133" spans="1:15" x14ac:dyDescent="0.3">
      <c r="A133" s="4" t="s">
        <v>150</v>
      </c>
      <c r="B133" s="2">
        <v>155</v>
      </c>
    </row>
    <row r="134" spans="1:15" x14ac:dyDescent="0.3">
      <c r="A134" s="5" t="s">
        <v>150</v>
      </c>
      <c r="B134" s="2">
        <v>155</v>
      </c>
    </row>
    <row r="135" spans="1:15" x14ac:dyDescent="0.3">
      <c r="A135" s="4" t="s">
        <v>151</v>
      </c>
      <c r="B135" s="2">
        <v>179</v>
      </c>
    </row>
    <row r="136" spans="1:15" x14ac:dyDescent="0.3">
      <c r="A136" s="5" t="s">
        <v>151</v>
      </c>
      <c r="B136" s="2">
        <v>179</v>
      </c>
    </row>
    <row r="137" spans="1:15" x14ac:dyDescent="0.3">
      <c r="A137" s="4" t="s">
        <v>184</v>
      </c>
      <c r="B137" s="2">
        <v>13852</v>
      </c>
    </row>
    <row r="139" spans="1:15" x14ac:dyDescent="0.3">
      <c r="A139" s="3" t="s">
        <v>181</v>
      </c>
      <c r="B139" s="3" t="s">
        <v>186</v>
      </c>
    </row>
    <row r="140" spans="1:15" x14ac:dyDescent="0.3">
      <c r="A140" s="3" t="s">
        <v>183</v>
      </c>
      <c r="B140" t="s">
        <v>40</v>
      </c>
      <c r="C140" t="s">
        <v>104</v>
      </c>
      <c r="D140" t="s">
        <v>52</v>
      </c>
      <c r="E140" t="s">
        <v>21</v>
      </c>
      <c r="F140" t="s">
        <v>71</v>
      </c>
      <c r="G140" t="s">
        <v>148</v>
      </c>
      <c r="H140" t="s">
        <v>74</v>
      </c>
      <c r="I140" t="s">
        <v>34</v>
      </c>
      <c r="J140" t="s">
        <v>47</v>
      </c>
      <c r="K140" t="s">
        <v>85</v>
      </c>
      <c r="L140" t="s">
        <v>30</v>
      </c>
      <c r="M140" t="s">
        <v>102</v>
      </c>
      <c r="N140" t="s">
        <v>67</v>
      </c>
      <c r="O140" t="s">
        <v>184</v>
      </c>
    </row>
    <row r="141" spans="1:15" x14ac:dyDescent="0.3">
      <c r="A141" s="4" t="s">
        <v>70</v>
      </c>
      <c r="B141" s="2"/>
      <c r="C141" s="2"/>
      <c r="D141" s="2"/>
      <c r="E141" s="2"/>
      <c r="F141" s="2">
        <v>171</v>
      </c>
      <c r="G141" s="2"/>
      <c r="H141" s="2"/>
      <c r="I141" s="2"/>
      <c r="J141" s="2"/>
      <c r="K141" s="2"/>
      <c r="L141" s="2"/>
      <c r="M141" s="2"/>
      <c r="N141" s="2"/>
      <c r="O141" s="2">
        <v>171</v>
      </c>
    </row>
    <row r="142" spans="1:15" x14ac:dyDescent="0.3">
      <c r="A142" s="4" t="s">
        <v>73</v>
      </c>
      <c r="B142" s="2"/>
      <c r="C142" s="2"/>
      <c r="D142" s="2"/>
      <c r="E142" s="2"/>
      <c r="F142" s="2"/>
      <c r="G142" s="2"/>
      <c r="H142" s="2">
        <v>169</v>
      </c>
      <c r="I142" s="2"/>
      <c r="J142" s="2"/>
      <c r="K142" s="2"/>
      <c r="L142" s="2"/>
      <c r="M142" s="2"/>
      <c r="N142" s="2"/>
      <c r="O142" s="2">
        <v>169</v>
      </c>
    </row>
    <row r="143" spans="1:15" x14ac:dyDescent="0.3">
      <c r="A143" s="4" t="s">
        <v>77</v>
      </c>
      <c r="B143" s="2"/>
      <c r="C143" s="2"/>
      <c r="D143" s="2"/>
      <c r="E143" s="2">
        <v>200</v>
      </c>
      <c r="F143" s="2"/>
      <c r="G143" s="2"/>
      <c r="H143" s="2"/>
      <c r="I143" s="2"/>
      <c r="J143" s="2"/>
      <c r="K143" s="2"/>
      <c r="L143" s="2"/>
      <c r="M143" s="2"/>
      <c r="N143" s="2"/>
      <c r="O143" s="2">
        <v>200</v>
      </c>
    </row>
    <row r="144" spans="1:15" x14ac:dyDescent="0.3">
      <c r="A144" s="4" t="s">
        <v>80</v>
      </c>
      <c r="B144" s="2"/>
      <c r="C144" s="2"/>
      <c r="D144" s="2"/>
      <c r="E144" s="2"/>
      <c r="F144" s="2">
        <v>203</v>
      </c>
      <c r="G144" s="2"/>
      <c r="H144" s="2"/>
      <c r="I144" s="2"/>
      <c r="J144" s="2"/>
      <c r="K144" s="2"/>
      <c r="L144" s="2"/>
      <c r="M144" s="2"/>
      <c r="N144" s="2"/>
      <c r="O144" s="2">
        <v>203</v>
      </c>
    </row>
    <row r="145" spans="1:15" x14ac:dyDescent="0.3">
      <c r="A145" s="4" t="s">
        <v>83</v>
      </c>
      <c r="B145" s="2"/>
      <c r="C145" s="2"/>
      <c r="D145" s="2"/>
      <c r="E145" s="2"/>
      <c r="F145" s="2"/>
      <c r="G145" s="2"/>
      <c r="H145" s="2"/>
      <c r="I145" s="2">
        <v>183</v>
      </c>
      <c r="J145" s="2"/>
      <c r="K145" s="2">
        <v>205</v>
      </c>
      <c r="L145" s="2"/>
      <c r="M145" s="2"/>
      <c r="N145" s="2"/>
      <c r="O145" s="2">
        <v>388</v>
      </c>
    </row>
    <row r="146" spans="1:15" x14ac:dyDescent="0.3">
      <c r="A146" s="4" t="s">
        <v>88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>
        <v>152</v>
      </c>
      <c r="M146" s="2"/>
      <c r="N146" s="2"/>
      <c r="O146" s="2">
        <v>152</v>
      </c>
    </row>
    <row r="147" spans="1:15" x14ac:dyDescent="0.3">
      <c r="A147" s="4" t="s">
        <v>90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>
        <v>221</v>
      </c>
      <c r="O147" s="2">
        <v>221</v>
      </c>
    </row>
    <row r="148" spans="1:15" x14ac:dyDescent="0.3">
      <c r="A148" s="4" t="s">
        <v>91</v>
      </c>
      <c r="B148" s="2"/>
      <c r="C148" s="2"/>
      <c r="D148" s="2"/>
      <c r="E148" s="2">
        <v>238</v>
      </c>
      <c r="F148" s="2"/>
      <c r="G148" s="2"/>
      <c r="H148" s="2"/>
      <c r="I148" s="2"/>
      <c r="J148" s="2"/>
      <c r="K148" s="2">
        <v>219</v>
      </c>
      <c r="L148" s="2"/>
      <c r="M148" s="2"/>
      <c r="N148" s="2"/>
      <c r="O148" s="2">
        <v>457</v>
      </c>
    </row>
    <row r="149" spans="1:15" x14ac:dyDescent="0.3">
      <c r="A149" s="4" t="s">
        <v>93</v>
      </c>
      <c r="B149" s="2"/>
      <c r="C149" s="2"/>
      <c r="D149" s="2"/>
      <c r="E149" s="2"/>
      <c r="F149" s="2"/>
      <c r="G149" s="2"/>
      <c r="H149" s="2"/>
      <c r="I149" s="2"/>
      <c r="J149" s="2">
        <v>217</v>
      </c>
      <c r="K149" s="2"/>
      <c r="L149" s="2"/>
      <c r="M149" s="2"/>
      <c r="N149" s="2"/>
      <c r="O149" s="2">
        <v>217</v>
      </c>
    </row>
    <row r="150" spans="1:15" x14ac:dyDescent="0.3">
      <c r="A150" s="4" t="s">
        <v>94</v>
      </c>
      <c r="B150" s="2"/>
      <c r="C150" s="2"/>
      <c r="D150" s="2"/>
      <c r="E150" s="2"/>
      <c r="F150" s="2"/>
      <c r="G150" s="2"/>
      <c r="H150" s="2">
        <v>163</v>
      </c>
      <c r="I150" s="2"/>
      <c r="J150" s="2"/>
      <c r="K150" s="2"/>
      <c r="L150" s="2"/>
      <c r="M150" s="2"/>
      <c r="N150" s="2"/>
      <c r="O150" s="2">
        <v>163</v>
      </c>
    </row>
    <row r="151" spans="1:15" x14ac:dyDescent="0.3">
      <c r="A151" s="4" t="s">
        <v>95</v>
      </c>
      <c r="B151" s="2"/>
      <c r="C151" s="2"/>
      <c r="D151" s="2"/>
      <c r="E151" s="2"/>
      <c r="F151" s="2"/>
      <c r="G151" s="2"/>
      <c r="H151" s="2"/>
      <c r="I151" s="2">
        <v>103</v>
      </c>
      <c r="J151" s="2"/>
      <c r="K151" s="2"/>
      <c r="L151" s="2"/>
      <c r="M151" s="2"/>
      <c r="N151" s="2"/>
      <c r="O151" s="2">
        <v>103</v>
      </c>
    </row>
    <row r="152" spans="1:15" x14ac:dyDescent="0.3">
      <c r="A152" s="4" t="s">
        <v>97</v>
      </c>
      <c r="B152" s="2"/>
      <c r="C152" s="2"/>
      <c r="D152" s="2"/>
      <c r="E152" s="2"/>
      <c r="F152" s="2">
        <v>180</v>
      </c>
      <c r="G152" s="2"/>
      <c r="H152" s="2"/>
      <c r="I152" s="2"/>
      <c r="J152" s="2"/>
      <c r="K152" s="2"/>
      <c r="L152" s="2">
        <v>245</v>
      </c>
      <c r="M152" s="2"/>
      <c r="N152" s="2"/>
      <c r="O152" s="2">
        <v>425</v>
      </c>
    </row>
    <row r="153" spans="1:15" x14ac:dyDescent="0.3">
      <c r="A153" s="4" t="s">
        <v>101</v>
      </c>
      <c r="B153" s="2"/>
      <c r="C153" s="2">
        <v>205</v>
      </c>
      <c r="D153" s="2"/>
      <c r="E153" s="2"/>
      <c r="F153" s="2"/>
      <c r="G153" s="2"/>
      <c r="H153" s="2"/>
      <c r="I153" s="2"/>
      <c r="J153" s="2"/>
      <c r="K153" s="2"/>
      <c r="L153" s="2"/>
      <c r="M153" s="2">
        <v>173</v>
      </c>
      <c r="N153" s="2"/>
      <c r="O153" s="2">
        <v>378</v>
      </c>
    </row>
    <row r="154" spans="1:15" x14ac:dyDescent="0.3">
      <c r="A154" s="4" t="s">
        <v>107</v>
      </c>
      <c r="B154" s="2"/>
      <c r="C154" s="2"/>
      <c r="D154" s="2"/>
      <c r="E154" s="2"/>
      <c r="F154" s="2">
        <v>166</v>
      </c>
      <c r="G154" s="2"/>
      <c r="H154" s="2"/>
      <c r="I154" s="2"/>
      <c r="J154" s="2"/>
      <c r="K154" s="2"/>
      <c r="L154" s="2"/>
      <c r="M154" s="2"/>
      <c r="N154" s="2"/>
      <c r="O154" s="2">
        <v>166</v>
      </c>
    </row>
    <row r="155" spans="1:15" x14ac:dyDescent="0.3">
      <c r="A155" s="4" t="s">
        <v>110</v>
      </c>
      <c r="B155" s="2"/>
      <c r="C155" s="2"/>
      <c r="D155" s="2"/>
      <c r="E155" s="2"/>
      <c r="F155" s="2"/>
      <c r="G155" s="2"/>
      <c r="H155" s="2"/>
      <c r="I155" s="2"/>
      <c r="J155" s="2"/>
      <c r="K155" s="2">
        <v>111</v>
      </c>
      <c r="L155" s="2"/>
      <c r="M155" s="2"/>
      <c r="N155" s="2"/>
      <c r="O155" s="2">
        <v>111</v>
      </c>
    </row>
    <row r="156" spans="1:15" x14ac:dyDescent="0.3">
      <c r="A156" s="4" t="s">
        <v>113</v>
      </c>
      <c r="B156" s="2"/>
      <c r="C156" s="2">
        <v>188</v>
      </c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>
        <v>188</v>
      </c>
    </row>
    <row r="157" spans="1:15" x14ac:dyDescent="0.3">
      <c r="A157" s="4" t="s">
        <v>115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>
        <v>162</v>
      </c>
      <c r="O157" s="2">
        <v>162</v>
      </c>
    </row>
    <row r="158" spans="1:15" x14ac:dyDescent="0.3">
      <c r="A158" s="4" t="s">
        <v>117</v>
      </c>
      <c r="B158" s="2"/>
      <c r="C158" s="2"/>
      <c r="D158" s="2"/>
      <c r="E158" s="2"/>
      <c r="F158" s="2"/>
      <c r="G158" s="2"/>
      <c r="H158" s="2">
        <v>95</v>
      </c>
      <c r="I158" s="2"/>
      <c r="J158" s="2"/>
      <c r="K158" s="2"/>
      <c r="L158" s="2"/>
      <c r="M158" s="2"/>
      <c r="N158" s="2"/>
      <c r="O158" s="2">
        <v>95</v>
      </c>
    </row>
    <row r="159" spans="1:15" x14ac:dyDescent="0.3">
      <c r="A159" s="4" t="s">
        <v>119</v>
      </c>
      <c r="B159" s="2"/>
      <c r="C159" s="2"/>
      <c r="D159" s="2"/>
      <c r="E159" s="2"/>
      <c r="F159" s="2"/>
      <c r="G159" s="2"/>
      <c r="H159" s="2"/>
      <c r="I159" s="2"/>
      <c r="J159" s="2">
        <v>203</v>
      </c>
      <c r="K159" s="2"/>
      <c r="L159" s="2"/>
      <c r="M159" s="2">
        <v>180</v>
      </c>
      <c r="N159" s="2"/>
      <c r="O159" s="2">
        <v>383</v>
      </c>
    </row>
    <row r="160" spans="1:15" x14ac:dyDescent="0.3">
      <c r="A160" s="4" t="s">
        <v>121</v>
      </c>
      <c r="B160" s="2"/>
      <c r="C160" s="2"/>
      <c r="D160" s="2"/>
      <c r="E160" s="2"/>
      <c r="F160" s="2"/>
      <c r="G160" s="2"/>
      <c r="H160" s="2"/>
      <c r="I160" s="2"/>
      <c r="J160" s="2"/>
      <c r="K160" s="2">
        <v>157</v>
      </c>
      <c r="L160" s="2"/>
      <c r="M160" s="2"/>
      <c r="N160" s="2">
        <v>176</v>
      </c>
      <c r="O160" s="2">
        <v>333</v>
      </c>
    </row>
    <row r="161" spans="1:15" x14ac:dyDescent="0.3">
      <c r="A161" s="4" t="s">
        <v>123</v>
      </c>
      <c r="B161" s="2"/>
      <c r="C161" s="2"/>
      <c r="D161" s="2"/>
      <c r="E161" s="2">
        <v>198</v>
      </c>
      <c r="F161" s="2"/>
      <c r="G161" s="2"/>
      <c r="H161" s="2"/>
      <c r="I161" s="2"/>
      <c r="J161" s="2"/>
      <c r="K161" s="2"/>
      <c r="L161" s="2"/>
      <c r="M161" s="2"/>
      <c r="N161" s="2"/>
      <c r="O161" s="2">
        <v>198</v>
      </c>
    </row>
    <row r="162" spans="1:15" x14ac:dyDescent="0.3">
      <c r="A162" s="4" t="s">
        <v>124</v>
      </c>
      <c r="B162" s="2"/>
      <c r="C162" s="2"/>
      <c r="D162" s="2"/>
      <c r="E162" s="2"/>
      <c r="F162" s="2">
        <v>159</v>
      </c>
      <c r="G162" s="2"/>
      <c r="H162" s="2"/>
      <c r="I162" s="2"/>
      <c r="J162" s="2"/>
      <c r="K162" s="2"/>
      <c r="L162" s="2"/>
      <c r="M162" s="2"/>
      <c r="N162" s="2"/>
      <c r="O162" s="2">
        <v>159</v>
      </c>
    </row>
    <row r="163" spans="1:15" x14ac:dyDescent="0.3">
      <c r="A163" s="4" t="s">
        <v>126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>
        <v>143</v>
      </c>
      <c r="M163" s="2"/>
      <c r="N163" s="2"/>
      <c r="O163" s="2">
        <v>143</v>
      </c>
    </row>
    <row r="164" spans="1:15" x14ac:dyDescent="0.3">
      <c r="A164" s="4" t="s">
        <v>129</v>
      </c>
      <c r="B164" s="2"/>
      <c r="C164" s="2"/>
      <c r="D164" s="2"/>
      <c r="E164" s="2"/>
      <c r="F164" s="2"/>
      <c r="G164" s="2"/>
      <c r="H164" s="2">
        <v>205</v>
      </c>
      <c r="I164" s="2"/>
      <c r="J164" s="2"/>
      <c r="K164" s="2"/>
      <c r="L164" s="2"/>
      <c r="M164" s="2"/>
      <c r="N164" s="2"/>
      <c r="O164" s="2">
        <v>205</v>
      </c>
    </row>
    <row r="165" spans="1:15" x14ac:dyDescent="0.3">
      <c r="A165" s="4" t="s">
        <v>130</v>
      </c>
      <c r="B165" s="2"/>
      <c r="C165" s="2"/>
      <c r="D165" s="2"/>
      <c r="E165" s="2"/>
      <c r="F165" s="2"/>
      <c r="G165" s="2"/>
      <c r="H165" s="2"/>
      <c r="I165" s="2">
        <v>154</v>
      </c>
      <c r="J165" s="2"/>
      <c r="K165" s="2"/>
      <c r="L165" s="2"/>
      <c r="M165" s="2"/>
      <c r="N165" s="2"/>
      <c r="O165" s="2">
        <v>154</v>
      </c>
    </row>
    <row r="166" spans="1:15" x14ac:dyDescent="0.3">
      <c r="A166" s="4" t="s">
        <v>131</v>
      </c>
      <c r="B166" s="2"/>
      <c r="C166" s="2"/>
      <c r="D166" s="2"/>
      <c r="E166" s="2">
        <v>201</v>
      </c>
      <c r="F166" s="2"/>
      <c r="G166" s="2"/>
      <c r="H166" s="2"/>
      <c r="I166" s="2"/>
      <c r="J166" s="2"/>
      <c r="K166" s="2"/>
      <c r="L166" s="2"/>
      <c r="M166" s="2"/>
      <c r="N166" s="2"/>
      <c r="O166" s="2">
        <v>201</v>
      </c>
    </row>
    <row r="167" spans="1:15" x14ac:dyDescent="0.3">
      <c r="A167" s="4" t="s">
        <v>133</v>
      </c>
      <c r="B167" s="2"/>
      <c r="C167" s="2">
        <v>162</v>
      </c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>
        <v>215</v>
      </c>
      <c r="O167" s="2">
        <v>377</v>
      </c>
    </row>
    <row r="168" spans="1:15" x14ac:dyDescent="0.3">
      <c r="A168" s="4" t="s">
        <v>134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>
        <v>209</v>
      </c>
      <c r="N168" s="2"/>
      <c r="O168" s="2">
        <v>209</v>
      </c>
    </row>
    <row r="169" spans="1:15" x14ac:dyDescent="0.3">
      <c r="A169" s="4" t="s">
        <v>136</v>
      </c>
      <c r="B169" s="2"/>
      <c r="C169" s="2">
        <v>204</v>
      </c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>
        <v>204</v>
      </c>
    </row>
    <row r="170" spans="1:15" x14ac:dyDescent="0.3">
      <c r="A170" s="4" t="s">
        <v>138</v>
      </c>
      <c r="B170" s="2"/>
      <c r="C170" s="2"/>
      <c r="D170" s="2"/>
      <c r="E170" s="2"/>
      <c r="F170" s="2"/>
      <c r="G170" s="2"/>
      <c r="H170" s="2"/>
      <c r="I170" s="2">
        <v>190</v>
      </c>
      <c r="J170" s="2"/>
      <c r="K170" s="2"/>
      <c r="L170" s="2"/>
      <c r="M170" s="2"/>
      <c r="N170" s="2"/>
      <c r="O170" s="2">
        <v>190</v>
      </c>
    </row>
    <row r="171" spans="1:15" x14ac:dyDescent="0.3">
      <c r="A171" s="4" t="s">
        <v>175</v>
      </c>
      <c r="B171" s="2"/>
      <c r="C171" s="2"/>
      <c r="D171" s="2"/>
      <c r="E171" s="2"/>
      <c r="F171" s="2"/>
      <c r="G171" s="2"/>
      <c r="H171" s="2"/>
      <c r="I171" s="2"/>
      <c r="J171" s="2">
        <v>203</v>
      </c>
      <c r="K171" s="2"/>
      <c r="L171" s="2"/>
      <c r="M171" s="2"/>
      <c r="N171" s="2"/>
      <c r="O171" s="2">
        <v>203</v>
      </c>
    </row>
    <row r="172" spans="1:15" x14ac:dyDescent="0.3">
      <c r="A172" s="4" t="s">
        <v>176</v>
      </c>
      <c r="B172" s="2"/>
      <c r="C172" s="2"/>
      <c r="D172" s="2"/>
      <c r="E172" s="2"/>
      <c r="F172" s="2"/>
      <c r="G172" s="2"/>
      <c r="H172" s="2"/>
      <c r="I172" s="2"/>
      <c r="J172" s="2">
        <v>190</v>
      </c>
      <c r="K172" s="2"/>
      <c r="L172" s="2"/>
      <c r="M172" s="2"/>
      <c r="N172" s="2"/>
      <c r="O172" s="2">
        <v>190</v>
      </c>
    </row>
    <row r="173" spans="1:15" x14ac:dyDescent="0.3">
      <c r="A173" s="4" t="s">
        <v>20</v>
      </c>
      <c r="B173" s="2"/>
      <c r="C173" s="2"/>
      <c r="D173" s="2"/>
      <c r="E173" s="2">
        <v>174</v>
      </c>
      <c r="F173" s="2"/>
      <c r="G173" s="2"/>
      <c r="H173" s="2"/>
      <c r="I173" s="2"/>
      <c r="J173" s="2"/>
      <c r="K173" s="2"/>
      <c r="L173" s="2"/>
      <c r="M173" s="2"/>
      <c r="N173" s="2"/>
      <c r="O173" s="2">
        <v>174</v>
      </c>
    </row>
    <row r="174" spans="1:15" x14ac:dyDescent="0.3">
      <c r="A174" s="4" t="s">
        <v>29</v>
      </c>
      <c r="B174" s="2"/>
      <c r="C174" s="2"/>
      <c r="D174" s="2"/>
      <c r="E174" s="2"/>
      <c r="F174" s="2"/>
      <c r="G174" s="2"/>
      <c r="H174" s="2"/>
      <c r="I174" s="2">
        <v>155</v>
      </c>
      <c r="J174" s="2"/>
      <c r="K174" s="2"/>
      <c r="L174" s="2">
        <v>286</v>
      </c>
      <c r="M174" s="2"/>
      <c r="N174" s="2"/>
      <c r="O174" s="2">
        <v>441</v>
      </c>
    </row>
    <row r="175" spans="1:15" x14ac:dyDescent="0.3">
      <c r="A175" s="4" t="s">
        <v>39</v>
      </c>
      <c r="B175" s="2">
        <v>209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>
        <v>209</v>
      </c>
    </row>
    <row r="176" spans="1:15" x14ac:dyDescent="0.3">
      <c r="A176" s="4" t="s">
        <v>46</v>
      </c>
      <c r="B176" s="2"/>
      <c r="C176" s="2"/>
      <c r="D176" s="2"/>
      <c r="E176" s="2"/>
      <c r="F176" s="2"/>
      <c r="G176" s="2"/>
      <c r="H176" s="2"/>
      <c r="I176" s="2"/>
      <c r="J176" s="2">
        <v>243</v>
      </c>
      <c r="K176" s="2"/>
      <c r="L176" s="2"/>
      <c r="M176" s="2"/>
      <c r="N176" s="2"/>
      <c r="O176" s="2">
        <v>243</v>
      </c>
    </row>
    <row r="177" spans="1:15" x14ac:dyDescent="0.3">
      <c r="A177" s="4" t="s">
        <v>51</v>
      </c>
      <c r="B177" s="2"/>
      <c r="C177" s="2"/>
      <c r="D177" s="2">
        <v>151</v>
      </c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>
        <v>151</v>
      </c>
    </row>
    <row r="178" spans="1:15" x14ac:dyDescent="0.3">
      <c r="A178" s="4" t="s">
        <v>54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>
        <v>190</v>
      </c>
      <c r="M178" s="2"/>
      <c r="N178" s="2"/>
      <c r="O178" s="2">
        <v>190</v>
      </c>
    </row>
    <row r="179" spans="1:15" x14ac:dyDescent="0.3">
      <c r="A179" s="4" t="s">
        <v>56</v>
      </c>
      <c r="B179" s="2"/>
      <c r="C179" s="2"/>
      <c r="D179" s="2"/>
      <c r="E179" s="2"/>
      <c r="F179" s="2"/>
      <c r="G179" s="2"/>
      <c r="H179" s="2"/>
      <c r="I179" s="2">
        <v>196</v>
      </c>
      <c r="J179" s="2"/>
      <c r="K179" s="2"/>
      <c r="L179" s="2"/>
      <c r="M179" s="2"/>
      <c r="N179" s="2"/>
      <c r="O179" s="2">
        <v>196</v>
      </c>
    </row>
    <row r="180" spans="1:15" x14ac:dyDescent="0.3">
      <c r="A180" s="4" t="s">
        <v>59</v>
      </c>
      <c r="B180" s="2"/>
      <c r="C180" s="2"/>
      <c r="D180" s="2"/>
      <c r="E180" s="2"/>
      <c r="F180" s="2"/>
      <c r="G180" s="2"/>
      <c r="H180" s="2"/>
      <c r="I180" s="2"/>
      <c r="J180" s="2">
        <v>196</v>
      </c>
      <c r="K180" s="2"/>
      <c r="L180" s="2"/>
      <c r="M180" s="2"/>
      <c r="N180" s="2"/>
      <c r="O180" s="2">
        <v>196</v>
      </c>
    </row>
    <row r="181" spans="1:15" x14ac:dyDescent="0.3">
      <c r="A181" s="4" t="s">
        <v>62</v>
      </c>
      <c r="B181" s="2">
        <v>163</v>
      </c>
      <c r="C181" s="2"/>
      <c r="D181" s="2">
        <v>182</v>
      </c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>
        <v>345</v>
      </c>
    </row>
    <row r="182" spans="1:15" x14ac:dyDescent="0.3">
      <c r="A182" s="4" t="s">
        <v>66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>
        <v>116</v>
      </c>
      <c r="O182" s="2">
        <v>116</v>
      </c>
    </row>
    <row r="183" spans="1:15" x14ac:dyDescent="0.3">
      <c r="A183" s="4" t="s">
        <v>140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>
        <v>217</v>
      </c>
      <c r="N183" s="2"/>
      <c r="O183" s="2">
        <v>217</v>
      </c>
    </row>
    <row r="184" spans="1:15" x14ac:dyDescent="0.3">
      <c r="A184" s="4" t="s">
        <v>153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3">
      <c r="A185" s="4" t="s">
        <v>154</v>
      </c>
      <c r="B185" s="2"/>
      <c r="C185" s="2">
        <v>199</v>
      </c>
      <c r="D185" s="2"/>
      <c r="E185" s="2"/>
      <c r="F185" s="2"/>
      <c r="G185" s="2"/>
      <c r="H185" s="2"/>
      <c r="I185" s="2"/>
      <c r="J185" s="2"/>
      <c r="K185" s="2"/>
      <c r="L185" s="2"/>
      <c r="M185" s="2">
        <v>219</v>
      </c>
      <c r="N185" s="2"/>
      <c r="O185" s="2">
        <v>418</v>
      </c>
    </row>
    <row r="186" spans="1:15" x14ac:dyDescent="0.3">
      <c r="A186" s="4" t="s">
        <v>157</v>
      </c>
      <c r="B186" s="2"/>
      <c r="C186" s="2"/>
      <c r="D186" s="2"/>
      <c r="E186" s="2"/>
      <c r="F186" s="2">
        <v>205</v>
      </c>
      <c r="G186" s="2"/>
      <c r="H186" s="2"/>
      <c r="I186" s="2"/>
      <c r="J186" s="2"/>
      <c r="K186" s="2"/>
      <c r="L186" s="2"/>
      <c r="M186" s="2"/>
      <c r="N186" s="2"/>
      <c r="O186" s="2">
        <v>205</v>
      </c>
    </row>
    <row r="187" spans="1:15" x14ac:dyDescent="0.3">
      <c r="A187" s="4" t="s">
        <v>141</v>
      </c>
      <c r="B187" s="2"/>
      <c r="C187" s="2"/>
      <c r="D187" s="2"/>
      <c r="E187" s="2"/>
      <c r="F187" s="2"/>
      <c r="G187" s="2"/>
      <c r="H187" s="2"/>
      <c r="I187" s="2"/>
      <c r="J187" s="2">
        <v>224</v>
      </c>
      <c r="K187" s="2"/>
      <c r="L187" s="2"/>
      <c r="M187" s="2"/>
      <c r="N187" s="2"/>
      <c r="O187" s="2">
        <v>224</v>
      </c>
    </row>
    <row r="188" spans="1:15" x14ac:dyDescent="0.3">
      <c r="A188" s="4" t="s">
        <v>159</v>
      </c>
      <c r="B188" s="2"/>
      <c r="C188" s="2">
        <v>187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>
        <v>187</v>
      </c>
    </row>
    <row r="189" spans="1:15" x14ac:dyDescent="0.3">
      <c r="A189" s="4" t="s">
        <v>161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>
        <v>180</v>
      </c>
      <c r="O189" s="2">
        <v>180</v>
      </c>
    </row>
    <row r="190" spans="1:15" x14ac:dyDescent="0.3">
      <c r="A190" s="4" t="s">
        <v>162</v>
      </c>
      <c r="B190" s="2"/>
      <c r="C190" s="2"/>
      <c r="D190" s="2"/>
      <c r="E190" s="2"/>
      <c r="F190" s="2"/>
      <c r="G190" s="2"/>
      <c r="H190" s="2"/>
      <c r="I190" s="2"/>
      <c r="J190" s="2">
        <v>235</v>
      </c>
      <c r="K190" s="2"/>
      <c r="L190" s="2"/>
      <c r="M190" s="2"/>
      <c r="N190" s="2"/>
      <c r="O190" s="2">
        <v>235</v>
      </c>
    </row>
    <row r="191" spans="1:15" x14ac:dyDescent="0.3">
      <c r="A191" s="4" t="s">
        <v>163</v>
      </c>
      <c r="B191" s="2"/>
      <c r="C191" s="2"/>
      <c r="D191" s="2"/>
      <c r="E191" s="2"/>
      <c r="F191" s="2">
        <v>231</v>
      </c>
      <c r="G191" s="2"/>
      <c r="H191" s="2"/>
      <c r="I191" s="2"/>
      <c r="J191" s="2"/>
      <c r="K191" s="2"/>
      <c r="L191" s="2"/>
      <c r="M191" s="2"/>
      <c r="N191" s="2"/>
      <c r="O191" s="2">
        <v>231</v>
      </c>
    </row>
    <row r="192" spans="1:15" x14ac:dyDescent="0.3">
      <c r="A192" s="4" t="s">
        <v>164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>
        <v>206</v>
      </c>
      <c r="N192" s="2"/>
      <c r="O192" s="2">
        <v>206</v>
      </c>
    </row>
    <row r="193" spans="1:15" x14ac:dyDescent="0.3">
      <c r="A193" s="4" t="s">
        <v>166</v>
      </c>
      <c r="B193" s="2"/>
      <c r="C193" s="2">
        <v>278</v>
      </c>
      <c r="D193" s="2"/>
      <c r="E193" s="2"/>
      <c r="F193" s="2"/>
      <c r="G193" s="2"/>
      <c r="H193" s="2"/>
      <c r="I193" s="2"/>
      <c r="J193" s="2">
        <v>230</v>
      </c>
      <c r="K193" s="2"/>
      <c r="L193" s="2"/>
      <c r="M193" s="2"/>
      <c r="N193" s="2"/>
      <c r="O193" s="2">
        <v>508</v>
      </c>
    </row>
    <row r="194" spans="1:15" x14ac:dyDescent="0.3">
      <c r="A194" s="4" t="s">
        <v>167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>
        <v>184</v>
      </c>
      <c r="N194" s="2"/>
      <c r="O194" s="2">
        <v>184</v>
      </c>
    </row>
    <row r="195" spans="1:15" x14ac:dyDescent="0.3">
      <c r="A195" s="4" t="s">
        <v>169</v>
      </c>
      <c r="B195" s="2"/>
      <c r="C195" s="2"/>
      <c r="D195" s="2"/>
      <c r="E195" s="2"/>
      <c r="F195" s="2">
        <v>227</v>
      </c>
      <c r="G195" s="2"/>
      <c r="H195" s="2"/>
      <c r="I195" s="2"/>
      <c r="J195" s="2"/>
      <c r="K195" s="2"/>
      <c r="L195" s="2"/>
      <c r="M195" s="2"/>
      <c r="N195" s="2"/>
      <c r="O195" s="2">
        <v>227</v>
      </c>
    </row>
    <row r="196" spans="1:15" x14ac:dyDescent="0.3">
      <c r="A196" s="4" t="s">
        <v>171</v>
      </c>
      <c r="B196" s="2"/>
      <c r="C196" s="2"/>
      <c r="D196" s="2"/>
      <c r="E196" s="2"/>
      <c r="F196" s="2"/>
      <c r="G196" s="2"/>
      <c r="H196" s="2"/>
      <c r="I196" s="2"/>
      <c r="J196" s="2"/>
      <c r="K196" s="2">
        <v>101</v>
      </c>
      <c r="L196" s="2"/>
      <c r="M196" s="2"/>
      <c r="N196" s="2"/>
      <c r="O196" s="2">
        <v>101</v>
      </c>
    </row>
    <row r="197" spans="1:15" x14ac:dyDescent="0.3">
      <c r="A197" s="4" t="s">
        <v>142</v>
      </c>
      <c r="B197" s="2"/>
      <c r="C197" s="2"/>
      <c r="D197" s="2"/>
      <c r="E197" s="2"/>
      <c r="F197" s="2"/>
      <c r="G197" s="2"/>
      <c r="H197" s="2">
        <v>213</v>
      </c>
      <c r="I197" s="2"/>
      <c r="J197" s="2"/>
      <c r="K197" s="2"/>
      <c r="L197" s="2"/>
      <c r="M197" s="2"/>
      <c r="N197" s="2"/>
      <c r="O197" s="2">
        <v>213</v>
      </c>
    </row>
    <row r="198" spans="1:15" x14ac:dyDescent="0.3">
      <c r="A198" s="4" t="s">
        <v>174</v>
      </c>
      <c r="B198" s="2"/>
      <c r="C198" s="2"/>
      <c r="D198" s="2"/>
      <c r="E198" s="2"/>
      <c r="F198" s="2"/>
      <c r="G198" s="2"/>
      <c r="H198" s="2"/>
      <c r="I198" s="2"/>
      <c r="J198" s="2"/>
      <c r="K198" s="2">
        <v>228</v>
      </c>
      <c r="L198" s="2"/>
      <c r="M198" s="2"/>
      <c r="N198" s="2"/>
      <c r="O198" s="2">
        <v>228</v>
      </c>
    </row>
    <row r="199" spans="1:15" x14ac:dyDescent="0.3">
      <c r="A199" s="4" t="s">
        <v>145</v>
      </c>
      <c r="B199" s="2"/>
      <c r="C199" s="2"/>
      <c r="D199" s="2"/>
      <c r="E199" s="2">
        <v>206</v>
      </c>
      <c r="F199" s="2"/>
      <c r="G199" s="2">
        <v>236</v>
      </c>
      <c r="H199" s="2"/>
      <c r="I199" s="2"/>
      <c r="J199" s="2"/>
      <c r="K199" s="2"/>
      <c r="L199" s="2"/>
      <c r="M199" s="2"/>
      <c r="N199" s="2"/>
      <c r="O199" s="2">
        <v>442</v>
      </c>
    </row>
    <row r="200" spans="1:15" x14ac:dyDescent="0.3">
      <c r="A200" s="4" t="s">
        <v>149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>
        <v>133</v>
      </c>
      <c r="M200" s="2"/>
      <c r="N200" s="2"/>
      <c r="O200" s="2">
        <v>133</v>
      </c>
    </row>
    <row r="201" spans="1:15" x14ac:dyDescent="0.3">
      <c r="A201" s="4" t="s">
        <v>150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>
        <v>155</v>
      </c>
      <c r="O201" s="2">
        <v>155</v>
      </c>
    </row>
    <row r="202" spans="1:15" x14ac:dyDescent="0.3">
      <c r="A202" s="4" t="s">
        <v>151</v>
      </c>
      <c r="B202" s="2"/>
      <c r="C202" s="2"/>
      <c r="D202" s="2"/>
      <c r="E202" s="2">
        <v>179</v>
      </c>
      <c r="F202" s="2"/>
      <c r="G202" s="2"/>
      <c r="H202" s="2"/>
      <c r="I202" s="2"/>
      <c r="J202" s="2"/>
      <c r="K202" s="2"/>
      <c r="L202" s="2"/>
      <c r="M202" s="2"/>
      <c r="N202" s="2"/>
      <c r="O202" s="2">
        <v>179</v>
      </c>
    </row>
    <row r="203" spans="1:15" x14ac:dyDescent="0.3">
      <c r="A203" s="4" t="s">
        <v>184</v>
      </c>
      <c r="B203" s="2">
        <v>372</v>
      </c>
      <c r="C203" s="2">
        <v>1423</v>
      </c>
      <c r="D203" s="2">
        <v>333</v>
      </c>
      <c r="E203" s="2">
        <v>1396</v>
      </c>
      <c r="F203" s="2">
        <v>1542</v>
      </c>
      <c r="G203" s="2">
        <v>236</v>
      </c>
      <c r="H203" s="2">
        <v>845</v>
      </c>
      <c r="I203" s="2">
        <v>981</v>
      </c>
      <c r="J203" s="2">
        <v>1941</v>
      </c>
      <c r="K203" s="2">
        <v>1021</v>
      </c>
      <c r="L203" s="2">
        <v>1149</v>
      </c>
      <c r="M203" s="2">
        <v>1388</v>
      </c>
      <c r="N203" s="2">
        <v>1225</v>
      </c>
      <c r="O203" s="2">
        <v>13852</v>
      </c>
    </row>
    <row r="205" spans="1:15" x14ac:dyDescent="0.3">
      <c r="A205" s="3" t="s">
        <v>183</v>
      </c>
      <c r="B205" t="s">
        <v>181</v>
      </c>
    </row>
    <row r="206" spans="1:15" x14ac:dyDescent="0.3">
      <c r="A206" s="4" t="s">
        <v>40</v>
      </c>
      <c r="B206" s="2">
        <v>372</v>
      </c>
    </row>
    <row r="207" spans="1:15" x14ac:dyDescent="0.3">
      <c r="A207" s="4" t="s">
        <v>104</v>
      </c>
      <c r="B207" s="2">
        <v>1423</v>
      </c>
    </row>
    <row r="208" spans="1:15" x14ac:dyDescent="0.3">
      <c r="A208" s="4" t="s">
        <v>52</v>
      </c>
      <c r="B208" s="2">
        <v>333</v>
      </c>
    </row>
    <row r="209" spans="1:2" x14ac:dyDescent="0.3">
      <c r="A209" s="4" t="s">
        <v>21</v>
      </c>
      <c r="B209" s="2">
        <v>1396</v>
      </c>
    </row>
    <row r="210" spans="1:2" x14ac:dyDescent="0.3">
      <c r="A210" s="4" t="s">
        <v>71</v>
      </c>
      <c r="B210" s="2">
        <v>1542</v>
      </c>
    </row>
    <row r="211" spans="1:2" x14ac:dyDescent="0.3">
      <c r="A211" s="4" t="s">
        <v>148</v>
      </c>
      <c r="B211" s="2">
        <v>236</v>
      </c>
    </row>
    <row r="212" spans="1:2" x14ac:dyDescent="0.3">
      <c r="A212" s="4" t="s">
        <v>74</v>
      </c>
      <c r="B212" s="2">
        <v>845</v>
      </c>
    </row>
    <row r="213" spans="1:2" x14ac:dyDescent="0.3">
      <c r="A213" s="4" t="s">
        <v>34</v>
      </c>
      <c r="B213" s="2">
        <v>981</v>
      </c>
    </row>
    <row r="214" spans="1:2" x14ac:dyDescent="0.3">
      <c r="A214" s="4" t="s">
        <v>47</v>
      </c>
      <c r="B214" s="2">
        <v>1941</v>
      </c>
    </row>
    <row r="215" spans="1:2" x14ac:dyDescent="0.3">
      <c r="A215" s="4" t="s">
        <v>85</v>
      </c>
      <c r="B215" s="2">
        <v>1021</v>
      </c>
    </row>
    <row r="216" spans="1:2" x14ac:dyDescent="0.3">
      <c r="A216" s="4" t="s">
        <v>30</v>
      </c>
      <c r="B216" s="2">
        <v>1149</v>
      </c>
    </row>
    <row r="217" spans="1:2" x14ac:dyDescent="0.3">
      <c r="A217" s="4" t="s">
        <v>102</v>
      </c>
      <c r="B217" s="2">
        <v>1388</v>
      </c>
    </row>
    <row r="218" spans="1:2" x14ac:dyDescent="0.3">
      <c r="A218" s="4" t="s">
        <v>67</v>
      </c>
      <c r="B218" s="2">
        <v>1225</v>
      </c>
    </row>
    <row r="219" spans="1:2" x14ac:dyDescent="0.3">
      <c r="A219" s="4" t="s">
        <v>184</v>
      </c>
      <c r="B219" s="2">
        <v>13852</v>
      </c>
    </row>
    <row r="221" spans="1:2" x14ac:dyDescent="0.3">
      <c r="A221" t="s">
        <v>188</v>
      </c>
    </row>
    <row r="222" spans="1:2" x14ac:dyDescent="0.3">
      <c r="A222" s="2">
        <v>71</v>
      </c>
    </row>
    <row r="224" spans="1:2" x14ac:dyDescent="0.3">
      <c r="A224" s="3" t="s">
        <v>183</v>
      </c>
      <c r="B224" t="s">
        <v>182</v>
      </c>
    </row>
    <row r="225" spans="1:4" x14ac:dyDescent="0.3">
      <c r="A225" s="4" t="s">
        <v>35</v>
      </c>
      <c r="B225" s="2">
        <v>83</v>
      </c>
    </row>
    <row r="226" spans="1:4" x14ac:dyDescent="0.3">
      <c r="A226" s="4" t="s">
        <v>41</v>
      </c>
      <c r="B226" s="2">
        <v>37</v>
      </c>
    </row>
    <row r="227" spans="1:4" x14ac:dyDescent="0.3">
      <c r="A227" s="4" t="s">
        <v>48</v>
      </c>
      <c r="B227" s="2">
        <v>171</v>
      </c>
    </row>
    <row r="228" spans="1:4" x14ac:dyDescent="0.3">
      <c r="A228" s="4" t="s">
        <v>22</v>
      </c>
      <c r="B228" s="2">
        <v>95</v>
      </c>
    </row>
    <row r="229" spans="1:4" x14ac:dyDescent="0.3">
      <c r="A229" s="4" t="s">
        <v>42</v>
      </c>
      <c r="B229" s="2">
        <v>51</v>
      </c>
    </row>
    <row r="230" spans="1:4" x14ac:dyDescent="0.3">
      <c r="A230" s="4" t="s">
        <v>36</v>
      </c>
      <c r="B230" s="2">
        <v>233</v>
      </c>
    </row>
    <row r="231" spans="1:4" x14ac:dyDescent="0.3">
      <c r="A231" s="4" t="s">
        <v>49</v>
      </c>
      <c r="B231" s="2">
        <v>92</v>
      </c>
    </row>
    <row r="232" spans="1:4" x14ac:dyDescent="0.3">
      <c r="A232" s="4" t="s">
        <v>23</v>
      </c>
      <c r="B232" s="2">
        <v>81</v>
      </c>
    </row>
    <row r="233" spans="1:4" x14ac:dyDescent="0.3">
      <c r="A233" s="4" t="s">
        <v>32</v>
      </c>
      <c r="B233" s="2">
        <v>56</v>
      </c>
    </row>
    <row r="234" spans="1:4" x14ac:dyDescent="0.3">
      <c r="A234" s="4" t="s">
        <v>31</v>
      </c>
      <c r="B234" s="2">
        <v>196</v>
      </c>
    </row>
    <row r="235" spans="1:4" x14ac:dyDescent="0.3">
      <c r="A235" s="4" t="s">
        <v>187</v>
      </c>
      <c r="B235" s="2"/>
    </row>
    <row r="236" spans="1:4" x14ac:dyDescent="0.3">
      <c r="A236" s="4" t="s">
        <v>184</v>
      </c>
      <c r="B236" s="2">
        <v>1095</v>
      </c>
    </row>
    <row r="238" spans="1:4" x14ac:dyDescent="0.3">
      <c r="A238" s="3" t="s">
        <v>181</v>
      </c>
      <c r="B238" s="3" t="s">
        <v>186</v>
      </c>
    </row>
    <row r="239" spans="1:4" x14ac:dyDescent="0.3">
      <c r="A239" s="3" t="s">
        <v>183</v>
      </c>
      <c r="B239" t="s">
        <v>63</v>
      </c>
      <c r="C239" t="s">
        <v>25</v>
      </c>
      <c r="D239" t="s">
        <v>184</v>
      </c>
    </row>
    <row r="240" spans="1:4" x14ac:dyDescent="0.3">
      <c r="A240" s="4" t="s">
        <v>70</v>
      </c>
      <c r="B240" s="2"/>
      <c r="C240" s="2">
        <v>171</v>
      </c>
      <c r="D240" s="2">
        <v>171</v>
      </c>
    </row>
    <row r="241" spans="1:4" x14ac:dyDescent="0.3">
      <c r="A241" s="5" t="s">
        <v>70</v>
      </c>
      <c r="B241" s="2"/>
      <c r="C241" s="2">
        <v>171</v>
      </c>
      <c r="D241" s="2">
        <v>171</v>
      </c>
    </row>
    <row r="242" spans="1:4" x14ac:dyDescent="0.3">
      <c r="A242" s="4" t="s">
        <v>73</v>
      </c>
      <c r="B242" s="2"/>
      <c r="C242" s="2">
        <v>169</v>
      </c>
      <c r="D242" s="2">
        <v>169</v>
      </c>
    </row>
    <row r="243" spans="1:4" x14ac:dyDescent="0.3">
      <c r="A243" s="5" t="s">
        <v>73</v>
      </c>
      <c r="B243" s="2"/>
      <c r="C243" s="2">
        <v>169</v>
      </c>
      <c r="D243" s="2">
        <v>169</v>
      </c>
    </row>
    <row r="244" spans="1:4" x14ac:dyDescent="0.3">
      <c r="A244" s="4" t="s">
        <v>77</v>
      </c>
      <c r="B244" s="2"/>
      <c r="C244" s="2">
        <v>200</v>
      </c>
      <c r="D244" s="2">
        <v>200</v>
      </c>
    </row>
    <row r="245" spans="1:4" x14ac:dyDescent="0.3">
      <c r="A245" s="5" t="s">
        <v>77</v>
      </c>
      <c r="B245" s="2"/>
      <c r="C245" s="2">
        <v>200</v>
      </c>
      <c r="D245" s="2">
        <v>200</v>
      </c>
    </row>
    <row r="246" spans="1:4" x14ac:dyDescent="0.3">
      <c r="A246" s="4" t="s">
        <v>80</v>
      </c>
      <c r="B246" s="2"/>
      <c r="C246" s="2">
        <v>203</v>
      </c>
      <c r="D246" s="2">
        <v>203</v>
      </c>
    </row>
    <row r="247" spans="1:4" x14ac:dyDescent="0.3">
      <c r="A247" s="5" t="s">
        <v>80</v>
      </c>
      <c r="B247" s="2"/>
      <c r="C247" s="2">
        <v>203</v>
      </c>
      <c r="D247" s="2">
        <v>203</v>
      </c>
    </row>
    <row r="248" spans="1:4" x14ac:dyDescent="0.3">
      <c r="A248" s="4" t="s">
        <v>83</v>
      </c>
      <c r="B248" s="2">
        <v>183</v>
      </c>
      <c r="C248" s="2">
        <v>205</v>
      </c>
      <c r="D248" s="2">
        <v>388</v>
      </c>
    </row>
    <row r="249" spans="1:4" x14ac:dyDescent="0.3">
      <c r="A249" s="5" t="s">
        <v>83</v>
      </c>
      <c r="B249" s="2">
        <v>183</v>
      </c>
      <c r="C249" s="2">
        <v>205</v>
      </c>
      <c r="D249" s="2">
        <v>388</v>
      </c>
    </row>
    <row r="250" spans="1:4" x14ac:dyDescent="0.3">
      <c r="A250" s="4" t="s">
        <v>88</v>
      </c>
      <c r="B250" s="2"/>
      <c r="C250" s="2">
        <v>152</v>
      </c>
      <c r="D250" s="2">
        <v>152</v>
      </c>
    </row>
    <row r="251" spans="1:4" x14ac:dyDescent="0.3">
      <c r="A251" s="5" t="s">
        <v>88</v>
      </c>
      <c r="B251" s="2"/>
      <c r="C251" s="2">
        <v>152</v>
      </c>
      <c r="D251" s="2">
        <v>152</v>
      </c>
    </row>
    <row r="252" spans="1:4" x14ac:dyDescent="0.3">
      <c r="A252" s="4" t="s">
        <v>90</v>
      </c>
      <c r="B252" s="2"/>
      <c r="C252" s="2">
        <v>221</v>
      </c>
      <c r="D252" s="2">
        <v>221</v>
      </c>
    </row>
    <row r="253" spans="1:4" x14ac:dyDescent="0.3">
      <c r="A253" s="5" t="s">
        <v>90</v>
      </c>
      <c r="B253" s="2"/>
      <c r="C253" s="2">
        <v>221</v>
      </c>
      <c r="D253" s="2">
        <v>221</v>
      </c>
    </row>
    <row r="254" spans="1:4" x14ac:dyDescent="0.3">
      <c r="A254" s="4" t="s">
        <v>91</v>
      </c>
      <c r="B254" s="2">
        <v>219</v>
      </c>
      <c r="C254" s="2">
        <v>238</v>
      </c>
      <c r="D254" s="2">
        <v>457</v>
      </c>
    </row>
    <row r="255" spans="1:4" x14ac:dyDescent="0.3">
      <c r="A255" s="5" t="s">
        <v>91</v>
      </c>
      <c r="B255" s="2">
        <v>219</v>
      </c>
      <c r="C255" s="2">
        <v>238</v>
      </c>
      <c r="D255" s="2">
        <v>457</v>
      </c>
    </row>
    <row r="256" spans="1:4" x14ac:dyDescent="0.3">
      <c r="A256" s="4" t="s">
        <v>93</v>
      </c>
      <c r="B256" s="2"/>
      <c r="C256" s="2">
        <v>217</v>
      </c>
      <c r="D256" s="2">
        <v>217</v>
      </c>
    </row>
    <row r="257" spans="1:4" x14ac:dyDescent="0.3">
      <c r="A257" s="5" t="s">
        <v>93</v>
      </c>
      <c r="B257" s="2"/>
      <c r="C257" s="2">
        <v>217</v>
      </c>
      <c r="D257" s="2">
        <v>217</v>
      </c>
    </row>
    <row r="258" spans="1:4" x14ac:dyDescent="0.3">
      <c r="A258" s="4" t="s">
        <v>94</v>
      </c>
      <c r="B258" s="2"/>
      <c r="C258" s="2">
        <v>163</v>
      </c>
      <c r="D258" s="2">
        <v>163</v>
      </c>
    </row>
    <row r="259" spans="1:4" x14ac:dyDescent="0.3">
      <c r="A259" s="5" t="s">
        <v>94</v>
      </c>
      <c r="B259" s="2"/>
      <c r="C259" s="2">
        <v>163</v>
      </c>
      <c r="D259" s="2">
        <v>163</v>
      </c>
    </row>
    <row r="260" spans="1:4" x14ac:dyDescent="0.3">
      <c r="A260" s="4" t="s">
        <v>95</v>
      </c>
      <c r="B260" s="2"/>
      <c r="C260" s="2">
        <v>103</v>
      </c>
      <c r="D260" s="2">
        <v>103</v>
      </c>
    </row>
    <row r="261" spans="1:4" x14ac:dyDescent="0.3">
      <c r="A261" s="5" t="s">
        <v>95</v>
      </c>
      <c r="B261" s="2"/>
      <c r="C261" s="2">
        <v>103</v>
      </c>
      <c r="D261" s="2">
        <v>103</v>
      </c>
    </row>
    <row r="262" spans="1:4" x14ac:dyDescent="0.3">
      <c r="A262" s="4" t="s">
        <v>97</v>
      </c>
      <c r="B262" s="2">
        <v>245</v>
      </c>
      <c r="C262" s="2">
        <v>180</v>
      </c>
      <c r="D262" s="2">
        <v>425</v>
      </c>
    </row>
    <row r="263" spans="1:4" x14ac:dyDescent="0.3">
      <c r="A263" s="5" t="s">
        <v>97</v>
      </c>
      <c r="B263" s="2">
        <v>245</v>
      </c>
      <c r="C263" s="2">
        <v>180</v>
      </c>
      <c r="D263" s="2">
        <v>425</v>
      </c>
    </row>
    <row r="264" spans="1:4" x14ac:dyDescent="0.3">
      <c r="A264" s="4" t="s">
        <v>101</v>
      </c>
      <c r="B264" s="2"/>
      <c r="C264" s="2">
        <v>378</v>
      </c>
      <c r="D264" s="2">
        <v>378</v>
      </c>
    </row>
    <row r="265" spans="1:4" x14ac:dyDescent="0.3">
      <c r="A265" s="5" t="s">
        <v>101</v>
      </c>
      <c r="B265" s="2"/>
      <c r="C265" s="2">
        <v>378</v>
      </c>
      <c r="D265" s="2">
        <v>378</v>
      </c>
    </row>
    <row r="266" spans="1:4" x14ac:dyDescent="0.3">
      <c r="A266" s="4" t="s">
        <v>107</v>
      </c>
      <c r="B266" s="2"/>
      <c r="C266" s="2">
        <v>166</v>
      </c>
      <c r="D266" s="2">
        <v>166</v>
      </c>
    </row>
    <row r="267" spans="1:4" x14ac:dyDescent="0.3">
      <c r="A267" s="5" t="s">
        <v>107</v>
      </c>
      <c r="B267" s="2"/>
      <c r="C267" s="2">
        <v>166</v>
      </c>
      <c r="D267" s="2">
        <v>166</v>
      </c>
    </row>
    <row r="268" spans="1:4" x14ac:dyDescent="0.3">
      <c r="A268" s="4" t="s">
        <v>110</v>
      </c>
      <c r="B268" s="2">
        <v>111</v>
      </c>
      <c r="C268" s="2"/>
      <c r="D268" s="2">
        <v>111</v>
      </c>
    </row>
    <row r="269" spans="1:4" x14ac:dyDescent="0.3">
      <c r="A269" s="5" t="s">
        <v>110</v>
      </c>
      <c r="B269" s="2">
        <v>111</v>
      </c>
      <c r="C269" s="2"/>
      <c r="D269" s="2">
        <v>111</v>
      </c>
    </row>
    <row r="270" spans="1:4" x14ac:dyDescent="0.3">
      <c r="A270" s="4" t="s">
        <v>113</v>
      </c>
      <c r="B270" s="2"/>
      <c r="C270" s="2">
        <v>188</v>
      </c>
      <c r="D270" s="2">
        <v>188</v>
      </c>
    </row>
    <row r="271" spans="1:4" x14ac:dyDescent="0.3">
      <c r="A271" s="5" t="s">
        <v>113</v>
      </c>
      <c r="B271" s="2"/>
      <c r="C271" s="2">
        <v>188</v>
      </c>
      <c r="D271" s="2">
        <v>188</v>
      </c>
    </row>
    <row r="272" spans="1:4" x14ac:dyDescent="0.3">
      <c r="A272" s="4" t="s">
        <v>115</v>
      </c>
      <c r="B272" s="2"/>
      <c r="C272" s="2">
        <v>162</v>
      </c>
      <c r="D272" s="2">
        <v>162</v>
      </c>
    </row>
    <row r="273" spans="1:4" x14ac:dyDescent="0.3">
      <c r="A273" s="5" t="s">
        <v>115</v>
      </c>
      <c r="B273" s="2"/>
      <c r="C273" s="2">
        <v>162</v>
      </c>
      <c r="D273" s="2">
        <v>162</v>
      </c>
    </row>
    <row r="274" spans="1:4" x14ac:dyDescent="0.3">
      <c r="A274" s="4" t="s">
        <v>117</v>
      </c>
      <c r="B274" s="2"/>
      <c r="C274" s="2">
        <v>95</v>
      </c>
      <c r="D274" s="2">
        <v>95</v>
      </c>
    </row>
    <row r="275" spans="1:4" x14ac:dyDescent="0.3">
      <c r="A275" s="5" t="s">
        <v>117</v>
      </c>
      <c r="B275" s="2"/>
      <c r="C275" s="2">
        <v>95</v>
      </c>
      <c r="D275" s="2">
        <v>95</v>
      </c>
    </row>
    <row r="276" spans="1:4" x14ac:dyDescent="0.3">
      <c r="A276" s="4" t="s">
        <v>119</v>
      </c>
      <c r="B276" s="2">
        <v>180</v>
      </c>
      <c r="C276" s="2">
        <v>203</v>
      </c>
      <c r="D276" s="2">
        <v>383</v>
      </c>
    </row>
    <row r="277" spans="1:4" x14ac:dyDescent="0.3">
      <c r="A277" s="5" t="s">
        <v>119</v>
      </c>
      <c r="B277" s="2">
        <v>180</v>
      </c>
      <c r="C277" s="2">
        <v>203</v>
      </c>
      <c r="D277" s="2">
        <v>383</v>
      </c>
    </row>
    <row r="278" spans="1:4" x14ac:dyDescent="0.3">
      <c r="A278" s="4" t="s">
        <v>121</v>
      </c>
      <c r="B278" s="2"/>
      <c r="C278" s="2">
        <v>333</v>
      </c>
      <c r="D278" s="2">
        <v>333</v>
      </c>
    </row>
    <row r="279" spans="1:4" x14ac:dyDescent="0.3">
      <c r="A279" s="5" t="s">
        <v>121</v>
      </c>
      <c r="B279" s="2"/>
      <c r="C279" s="2">
        <v>333</v>
      </c>
      <c r="D279" s="2">
        <v>333</v>
      </c>
    </row>
    <row r="280" spans="1:4" x14ac:dyDescent="0.3">
      <c r="A280" s="4" t="s">
        <v>123</v>
      </c>
      <c r="B280" s="2"/>
      <c r="C280" s="2">
        <v>198</v>
      </c>
      <c r="D280" s="2">
        <v>198</v>
      </c>
    </row>
    <row r="281" spans="1:4" x14ac:dyDescent="0.3">
      <c r="A281" s="5" t="s">
        <v>123</v>
      </c>
      <c r="B281" s="2"/>
      <c r="C281" s="2">
        <v>198</v>
      </c>
      <c r="D281" s="2">
        <v>198</v>
      </c>
    </row>
    <row r="282" spans="1:4" x14ac:dyDescent="0.3">
      <c r="A282" s="4" t="s">
        <v>124</v>
      </c>
      <c r="B282" s="2"/>
      <c r="C282" s="2">
        <v>159</v>
      </c>
      <c r="D282" s="2">
        <v>159</v>
      </c>
    </row>
    <row r="283" spans="1:4" x14ac:dyDescent="0.3">
      <c r="A283" s="5" t="s">
        <v>124</v>
      </c>
      <c r="B283" s="2"/>
      <c r="C283" s="2">
        <v>159</v>
      </c>
      <c r="D283" s="2">
        <v>159</v>
      </c>
    </row>
    <row r="284" spans="1:4" x14ac:dyDescent="0.3">
      <c r="A284" s="4" t="s">
        <v>126</v>
      </c>
      <c r="B284" s="2"/>
      <c r="C284" s="2">
        <v>143</v>
      </c>
      <c r="D284" s="2">
        <v>143</v>
      </c>
    </row>
    <row r="285" spans="1:4" x14ac:dyDescent="0.3">
      <c r="A285" s="5" t="s">
        <v>126</v>
      </c>
      <c r="B285" s="2"/>
      <c r="C285" s="2">
        <v>143</v>
      </c>
      <c r="D285" s="2">
        <v>143</v>
      </c>
    </row>
    <row r="286" spans="1:4" x14ac:dyDescent="0.3">
      <c r="A286" s="4" t="s">
        <v>129</v>
      </c>
      <c r="B286" s="2"/>
      <c r="C286" s="2">
        <v>205</v>
      </c>
      <c r="D286" s="2">
        <v>205</v>
      </c>
    </row>
    <row r="287" spans="1:4" x14ac:dyDescent="0.3">
      <c r="A287" s="5" t="s">
        <v>129</v>
      </c>
      <c r="B287" s="2"/>
      <c r="C287" s="2">
        <v>205</v>
      </c>
      <c r="D287" s="2">
        <v>205</v>
      </c>
    </row>
    <row r="288" spans="1:4" x14ac:dyDescent="0.3">
      <c r="A288" s="4" t="s">
        <v>130</v>
      </c>
      <c r="B288" s="2"/>
      <c r="C288" s="2">
        <v>154</v>
      </c>
      <c r="D288" s="2">
        <v>154</v>
      </c>
    </row>
    <row r="289" spans="1:4" x14ac:dyDescent="0.3">
      <c r="A289" s="5" t="s">
        <v>130</v>
      </c>
      <c r="B289" s="2"/>
      <c r="C289" s="2">
        <v>154</v>
      </c>
      <c r="D289" s="2">
        <v>154</v>
      </c>
    </row>
    <row r="290" spans="1:4" x14ac:dyDescent="0.3">
      <c r="A290" s="4" t="s">
        <v>131</v>
      </c>
      <c r="B290" s="2">
        <v>201</v>
      </c>
      <c r="C290" s="2"/>
      <c r="D290" s="2">
        <v>201</v>
      </c>
    </row>
    <row r="291" spans="1:4" x14ac:dyDescent="0.3">
      <c r="A291" s="5" t="s">
        <v>131</v>
      </c>
      <c r="B291" s="2">
        <v>201</v>
      </c>
      <c r="C291" s="2"/>
      <c r="D291" s="2">
        <v>201</v>
      </c>
    </row>
    <row r="292" spans="1:4" x14ac:dyDescent="0.3">
      <c r="A292" s="4" t="s">
        <v>133</v>
      </c>
      <c r="B292" s="2"/>
      <c r="C292" s="2">
        <v>377</v>
      </c>
      <c r="D292" s="2">
        <v>377</v>
      </c>
    </row>
    <row r="293" spans="1:4" x14ac:dyDescent="0.3">
      <c r="A293" s="5" t="s">
        <v>133</v>
      </c>
      <c r="B293" s="2"/>
      <c r="C293" s="2">
        <v>377</v>
      </c>
      <c r="D293" s="2">
        <v>377</v>
      </c>
    </row>
    <row r="294" spans="1:4" x14ac:dyDescent="0.3">
      <c r="A294" s="4" t="s">
        <v>134</v>
      </c>
      <c r="B294" s="2"/>
      <c r="C294" s="2">
        <v>209</v>
      </c>
      <c r="D294" s="2">
        <v>209</v>
      </c>
    </row>
    <row r="295" spans="1:4" x14ac:dyDescent="0.3">
      <c r="A295" s="5" t="s">
        <v>134</v>
      </c>
      <c r="B295" s="2"/>
      <c r="C295" s="2">
        <v>209</v>
      </c>
      <c r="D295" s="2">
        <v>209</v>
      </c>
    </row>
    <row r="296" spans="1:4" x14ac:dyDescent="0.3">
      <c r="A296" s="4" t="s">
        <v>136</v>
      </c>
      <c r="B296" s="2"/>
      <c r="C296" s="2">
        <v>204</v>
      </c>
      <c r="D296" s="2">
        <v>204</v>
      </c>
    </row>
    <row r="297" spans="1:4" x14ac:dyDescent="0.3">
      <c r="A297" s="5" t="s">
        <v>136</v>
      </c>
      <c r="B297" s="2"/>
      <c r="C297" s="2">
        <v>204</v>
      </c>
      <c r="D297" s="2">
        <v>204</v>
      </c>
    </row>
    <row r="298" spans="1:4" x14ac:dyDescent="0.3">
      <c r="A298" s="4" t="s">
        <v>138</v>
      </c>
      <c r="B298" s="2"/>
      <c r="C298" s="2">
        <v>190</v>
      </c>
      <c r="D298" s="2">
        <v>190</v>
      </c>
    </row>
    <row r="299" spans="1:4" x14ac:dyDescent="0.3">
      <c r="A299" s="5" t="s">
        <v>138</v>
      </c>
      <c r="B299" s="2"/>
      <c r="C299" s="2">
        <v>190</v>
      </c>
      <c r="D299" s="2">
        <v>190</v>
      </c>
    </row>
    <row r="300" spans="1:4" x14ac:dyDescent="0.3">
      <c r="A300" s="4" t="s">
        <v>175</v>
      </c>
      <c r="B300" s="2"/>
      <c r="C300" s="2">
        <v>203</v>
      </c>
      <c r="D300" s="2">
        <v>203</v>
      </c>
    </row>
    <row r="301" spans="1:4" x14ac:dyDescent="0.3">
      <c r="A301" s="5" t="s">
        <v>175</v>
      </c>
      <c r="B301" s="2"/>
      <c r="C301" s="2">
        <v>203</v>
      </c>
      <c r="D301" s="2">
        <v>203</v>
      </c>
    </row>
    <row r="302" spans="1:4" x14ac:dyDescent="0.3">
      <c r="A302" s="4" t="s">
        <v>176</v>
      </c>
      <c r="B302" s="2"/>
      <c r="C302" s="2">
        <v>190</v>
      </c>
      <c r="D302" s="2">
        <v>190</v>
      </c>
    </row>
    <row r="303" spans="1:4" x14ac:dyDescent="0.3">
      <c r="A303" s="5" t="s">
        <v>176</v>
      </c>
      <c r="B303" s="2"/>
      <c r="C303" s="2">
        <v>190</v>
      </c>
      <c r="D303" s="2">
        <v>190</v>
      </c>
    </row>
    <row r="304" spans="1:4" x14ac:dyDescent="0.3">
      <c r="A304" s="4" t="s">
        <v>20</v>
      </c>
      <c r="B304" s="2"/>
      <c r="C304" s="2">
        <v>174</v>
      </c>
      <c r="D304" s="2">
        <v>174</v>
      </c>
    </row>
    <row r="305" spans="1:4" x14ac:dyDescent="0.3">
      <c r="A305" s="5" t="s">
        <v>20</v>
      </c>
      <c r="B305" s="2"/>
      <c r="C305" s="2">
        <v>174</v>
      </c>
      <c r="D305" s="2">
        <v>174</v>
      </c>
    </row>
    <row r="306" spans="1:4" x14ac:dyDescent="0.3">
      <c r="A306" s="4" t="s">
        <v>29</v>
      </c>
      <c r="B306" s="2"/>
      <c r="C306" s="2">
        <v>441</v>
      </c>
      <c r="D306" s="2">
        <v>441</v>
      </c>
    </row>
    <row r="307" spans="1:4" x14ac:dyDescent="0.3">
      <c r="A307" s="5" t="s">
        <v>29</v>
      </c>
      <c r="B307" s="2"/>
      <c r="C307" s="2">
        <v>441</v>
      </c>
      <c r="D307" s="2">
        <v>441</v>
      </c>
    </row>
    <row r="308" spans="1:4" x14ac:dyDescent="0.3">
      <c r="A308" s="4" t="s">
        <v>39</v>
      </c>
      <c r="B308" s="2"/>
      <c r="C308" s="2">
        <v>209</v>
      </c>
      <c r="D308" s="2">
        <v>209</v>
      </c>
    </row>
    <row r="309" spans="1:4" x14ac:dyDescent="0.3">
      <c r="A309" s="5" t="s">
        <v>39</v>
      </c>
      <c r="B309" s="2"/>
      <c r="C309" s="2">
        <v>209</v>
      </c>
      <c r="D309" s="2">
        <v>209</v>
      </c>
    </row>
    <row r="310" spans="1:4" x14ac:dyDescent="0.3">
      <c r="A310" s="4" t="s">
        <v>46</v>
      </c>
      <c r="B310" s="2"/>
      <c r="C310" s="2">
        <v>243</v>
      </c>
      <c r="D310" s="2">
        <v>243</v>
      </c>
    </row>
    <row r="311" spans="1:4" x14ac:dyDescent="0.3">
      <c r="A311" s="5" t="s">
        <v>46</v>
      </c>
      <c r="B311" s="2"/>
      <c r="C311" s="2">
        <v>243</v>
      </c>
      <c r="D311" s="2">
        <v>243</v>
      </c>
    </row>
    <row r="312" spans="1:4" x14ac:dyDescent="0.3">
      <c r="A312" s="4" t="s">
        <v>51</v>
      </c>
      <c r="B312" s="2"/>
      <c r="C312" s="2">
        <v>151</v>
      </c>
      <c r="D312" s="2">
        <v>151</v>
      </c>
    </row>
    <row r="313" spans="1:4" x14ac:dyDescent="0.3">
      <c r="A313" s="5" t="s">
        <v>51</v>
      </c>
      <c r="B313" s="2"/>
      <c r="C313" s="2">
        <v>151</v>
      </c>
      <c r="D313" s="2">
        <v>151</v>
      </c>
    </row>
    <row r="314" spans="1:4" x14ac:dyDescent="0.3">
      <c r="A314" s="4" t="s">
        <v>54</v>
      </c>
      <c r="B314" s="2"/>
      <c r="C314" s="2">
        <v>190</v>
      </c>
      <c r="D314" s="2">
        <v>190</v>
      </c>
    </row>
    <row r="315" spans="1:4" x14ac:dyDescent="0.3">
      <c r="A315" s="5" t="s">
        <v>54</v>
      </c>
      <c r="B315" s="2"/>
      <c r="C315" s="2">
        <v>190</v>
      </c>
      <c r="D315" s="2">
        <v>190</v>
      </c>
    </row>
    <row r="316" spans="1:4" x14ac:dyDescent="0.3">
      <c r="A316" s="4" t="s">
        <v>56</v>
      </c>
      <c r="B316" s="2"/>
      <c r="C316" s="2">
        <v>196</v>
      </c>
      <c r="D316" s="2">
        <v>196</v>
      </c>
    </row>
    <row r="317" spans="1:4" x14ac:dyDescent="0.3">
      <c r="A317" s="5" t="s">
        <v>56</v>
      </c>
      <c r="B317" s="2"/>
      <c r="C317" s="2">
        <v>196</v>
      </c>
      <c r="D317" s="2">
        <v>196</v>
      </c>
    </row>
    <row r="318" spans="1:4" x14ac:dyDescent="0.3">
      <c r="A318" s="4" t="s">
        <v>59</v>
      </c>
      <c r="B318" s="2"/>
      <c r="C318" s="2">
        <v>196</v>
      </c>
      <c r="D318" s="2">
        <v>196</v>
      </c>
    </row>
    <row r="319" spans="1:4" x14ac:dyDescent="0.3">
      <c r="A319" s="5" t="s">
        <v>59</v>
      </c>
      <c r="B319" s="2"/>
      <c r="C319" s="2">
        <v>196</v>
      </c>
      <c r="D319" s="2">
        <v>196</v>
      </c>
    </row>
    <row r="320" spans="1:4" x14ac:dyDescent="0.3">
      <c r="A320" s="4" t="s">
        <v>62</v>
      </c>
      <c r="B320" s="2">
        <v>163</v>
      </c>
      <c r="C320" s="2">
        <v>182</v>
      </c>
      <c r="D320" s="2">
        <v>345</v>
      </c>
    </row>
    <row r="321" spans="1:4" x14ac:dyDescent="0.3">
      <c r="A321" s="5" t="s">
        <v>62</v>
      </c>
      <c r="B321" s="2">
        <v>163</v>
      </c>
      <c r="C321" s="2">
        <v>182</v>
      </c>
      <c r="D321" s="2">
        <v>345</v>
      </c>
    </row>
    <row r="322" spans="1:4" x14ac:dyDescent="0.3">
      <c r="A322" s="4" t="s">
        <v>66</v>
      </c>
      <c r="B322" s="2"/>
      <c r="C322" s="2">
        <v>116</v>
      </c>
      <c r="D322" s="2">
        <v>116</v>
      </c>
    </row>
    <row r="323" spans="1:4" x14ac:dyDescent="0.3">
      <c r="A323" s="5" t="s">
        <v>66</v>
      </c>
      <c r="B323" s="2"/>
      <c r="C323" s="2">
        <v>116</v>
      </c>
      <c r="D323" s="2">
        <v>116</v>
      </c>
    </row>
    <row r="324" spans="1:4" x14ac:dyDescent="0.3">
      <c r="A324" s="4" t="s">
        <v>140</v>
      </c>
      <c r="B324" s="2"/>
      <c r="C324" s="2">
        <v>217</v>
      </c>
      <c r="D324" s="2">
        <v>217</v>
      </c>
    </row>
    <row r="325" spans="1:4" x14ac:dyDescent="0.3">
      <c r="A325" s="5" t="s">
        <v>140</v>
      </c>
      <c r="B325" s="2"/>
      <c r="C325" s="2">
        <v>217</v>
      </c>
      <c r="D325" s="2">
        <v>217</v>
      </c>
    </row>
    <row r="326" spans="1:4" x14ac:dyDescent="0.3">
      <c r="A326" s="4" t="s">
        <v>153</v>
      </c>
      <c r="B326" s="2"/>
      <c r="C326" s="2"/>
      <c r="D326" s="2"/>
    </row>
    <row r="327" spans="1:4" x14ac:dyDescent="0.3">
      <c r="A327" s="5" t="s">
        <v>153</v>
      </c>
      <c r="B327" s="2"/>
      <c r="C327" s="2"/>
      <c r="D327" s="2"/>
    </row>
    <row r="328" spans="1:4" x14ac:dyDescent="0.3">
      <c r="A328" s="4" t="s">
        <v>154</v>
      </c>
      <c r="B328" s="2">
        <v>219</v>
      </c>
      <c r="C328" s="2">
        <v>199</v>
      </c>
      <c r="D328" s="2">
        <v>418</v>
      </c>
    </row>
    <row r="329" spans="1:4" x14ac:dyDescent="0.3">
      <c r="A329" s="5" t="s">
        <v>154</v>
      </c>
      <c r="B329" s="2">
        <v>219</v>
      </c>
      <c r="C329" s="2">
        <v>199</v>
      </c>
      <c r="D329" s="2">
        <v>418</v>
      </c>
    </row>
    <row r="330" spans="1:4" x14ac:dyDescent="0.3">
      <c r="A330" s="4" t="s">
        <v>157</v>
      </c>
      <c r="B330" s="2"/>
      <c r="C330" s="2">
        <v>205</v>
      </c>
      <c r="D330" s="2">
        <v>205</v>
      </c>
    </row>
    <row r="331" spans="1:4" x14ac:dyDescent="0.3">
      <c r="A331" s="5" t="s">
        <v>157</v>
      </c>
      <c r="B331" s="2"/>
      <c r="C331" s="2">
        <v>205</v>
      </c>
      <c r="D331" s="2">
        <v>205</v>
      </c>
    </row>
    <row r="332" spans="1:4" x14ac:dyDescent="0.3">
      <c r="A332" s="4" t="s">
        <v>141</v>
      </c>
      <c r="B332" s="2"/>
      <c r="C332" s="2">
        <v>224</v>
      </c>
      <c r="D332" s="2">
        <v>224</v>
      </c>
    </row>
    <row r="333" spans="1:4" x14ac:dyDescent="0.3">
      <c r="A333" s="5" t="s">
        <v>141</v>
      </c>
      <c r="B333" s="2"/>
      <c r="C333" s="2">
        <v>224</v>
      </c>
      <c r="D333" s="2">
        <v>224</v>
      </c>
    </row>
    <row r="334" spans="1:4" x14ac:dyDescent="0.3">
      <c r="A334" s="4" t="s">
        <v>159</v>
      </c>
      <c r="B334" s="2"/>
      <c r="C334" s="2">
        <v>187</v>
      </c>
      <c r="D334" s="2">
        <v>187</v>
      </c>
    </row>
    <row r="335" spans="1:4" x14ac:dyDescent="0.3">
      <c r="A335" s="5" t="s">
        <v>159</v>
      </c>
      <c r="B335" s="2"/>
      <c r="C335" s="2">
        <v>187</v>
      </c>
      <c r="D335" s="2">
        <v>187</v>
      </c>
    </row>
    <row r="336" spans="1:4" x14ac:dyDescent="0.3">
      <c r="A336" s="4" t="s">
        <v>161</v>
      </c>
      <c r="B336" s="2"/>
      <c r="C336" s="2">
        <v>180</v>
      </c>
      <c r="D336" s="2">
        <v>180</v>
      </c>
    </row>
    <row r="337" spans="1:4" x14ac:dyDescent="0.3">
      <c r="A337" s="5" t="s">
        <v>161</v>
      </c>
      <c r="B337" s="2"/>
      <c r="C337" s="2">
        <v>180</v>
      </c>
      <c r="D337" s="2">
        <v>180</v>
      </c>
    </row>
    <row r="338" spans="1:4" x14ac:dyDescent="0.3">
      <c r="A338" s="4" t="s">
        <v>162</v>
      </c>
      <c r="B338" s="2"/>
      <c r="C338" s="2">
        <v>235</v>
      </c>
      <c r="D338" s="2">
        <v>235</v>
      </c>
    </row>
    <row r="339" spans="1:4" x14ac:dyDescent="0.3">
      <c r="A339" s="5" t="s">
        <v>162</v>
      </c>
      <c r="B339" s="2"/>
      <c r="C339" s="2">
        <v>235</v>
      </c>
      <c r="D339" s="2">
        <v>235</v>
      </c>
    </row>
    <row r="340" spans="1:4" x14ac:dyDescent="0.3">
      <c r="A340" s="4" t="s">
        <v>163</v>
      </c>
      <c r="B340" s="2"/>
      <c r="C340" s="2">
        <v>231</v>
      </c>
      <c r="D340" s="2">
        <v>231</v>
      </c>
    </row>
    <row r="341" spans="1:4" x14ac:dyDescent="0.3">
      <c r="A341" s="5" t="s">
        <v>163</v>
      </c>
      <c r="B341" s="2"/>
      <c r="C341" s="2">
        <v>231</v>
      </c>
      <c r="D341" s="2">
        <v>231</v>
      </c>
    </row>
    <row r="342" spans="1:4" x14ac:dyDescent="0.3">
      <c r="A342" s="4" t="s">
        <v>164</v>
      </c>
      <c r="B342" s="2"/>
      <c r="C342" s="2">
        <v>206</v>
      </c>
      <c r="D342" s="2">
        <v>206</v>
      </c>
    </row>
    <row r="343" spans="1:4" x14ac:dyDescent="0.3">
      <c r="A343" s="5" t="s">
        <v>164</v>
      </c>
      <c r="B343" s="2"/>
      <c r="C343" s="2">
        <v>206</v>
      </c>
      <c r="D343" s="2">
        <v>206</v>
      </c>
    </row>
    <row r="344" spans="1:4" x14ac:dyDescent="0.3">
      <c r="A344" s="4" t="s">
        <v>166</v>
      </c>
      <c r="B344" s="2">
        <v>508</v>
      </c>
      <c r="C344" s="2"/>
      <c r="D344" s="2">
        <v>508</v>
      </c>
    </row>
    <row r="345" spans="1:4" x14ac:dyDescent="0.3">
      <c r="A345" s="5" t="s">
        <v>166</v>
      </c>
      <c r="B345" s="2">
        <v>508</v>
      </c>
      <c r="C345" s="2"/>
      <c r="D345" s="2">
        <v>508</v>
      </c>
    </row>
    <row r="346" spans="1:4" x14ac:dyDescent="0.3">
      <c r="A346" s="4" t="s">
        <v>167</v>
      </c>
      <c r="B346" s="2"/>
      <c r="C346" s="2">
        <v>184</v>
      </c>
      <c r="D346" s="2">
        <v>184</v>
      </c>
    </row>
    <row r="347" spans="1:4" x14ac:dyDescent="0.3">
      <c r="A347" s="5" t="s">
        <v>167</v>
      </c>
      <c r="B347" s="2"/>
      <c r="C347" s="2">
        <v>184</v>
      </c>
      <c r="D347" s="2">
        <v>184</v>
      </c>
    </row>
    <row r="348" spans="1:4" x14ac:dyDescent="0.3">
      <c r="A348" s="4" t="s">
        <v>169</v>
      </c>
      <c r="B348" s="2"/>
      <c r="C348" s="2">
        <v>227</v>
      </c>
      <c r="D348" s="2">
        <v>227</v>
      </c>
    </row>
    <row r="349" spans="1:4" x14ac:dyDescent="0.3">
      <c r="A349" s="5" t="s">
        <v>169</v>
      </c>
      <c r="B349" s="2"/>
      <c r="C349" s="2">
        <v>227</v>
      </c>
      <c r="D349" s="2">
        <v>227</v>
      </c>
    </row>
    <row r="350" spans="1:4" x14ac:dyDescent="0.3">
      <c r="A350" s="4" t="s">
        <v>171</v>
      </c>
      <c r="B350" s="2"/>
      <c r="C350" s="2">
        <v>101</v>
      </c>
      <c r="D350" s="2">
        <v>101</v>
      </c>
    </row>
    <row r="351" spans="1:4" x14ac:dyDescent="0.3">
      <c r="A351" s="5" t="s">
        <v>171</v>
      </c>
      <c r="B351" s="2"/>
      <c r="C351" s="2">
        <v>101</v>
      </c>
      <c r="D351" s="2">
        <v>101</v>
      </c>
    </row>
    <row r="352" spans="1:4" x14ac:dyDescent="0.3">
      <c r="A352" s="4" t="s">
        <v>142</v>
      </c>
      <c r="B352" s="2"/>
      <c r="C352" s="2">
        <v>213</v>
      </c>
      <c r="D352" s="2">
        <v>213</v>
      </c>
    </row>
    <row r="353" spans="1:4" x14ac:dyDescent="0.3">
      <c r="A353" s="5" t="s">
        <v>142</v>
      </c>
      <c r="B353" s="2"/>
      <c r="C353" s="2">
        <v>213</v>
      </c>
      <c r="D353" s="2">
        <v>213</v>
      </c>
    </row>
    <row r="354" spans="1:4" x14ac:dyDescent="0.3">
      <c r="A354" s="4" t="s">
        <v>174</v>
      </c>
      <c r="B354" s="2">
        <v>228</v>
      </c>
      <c r="C354" s="2"/>
      <c r="D354" s="2">
        <v>228</v>
      </c>
    </row>
    <row r="355" spans="1:4" x14ac:dyDescent="0.3">
      <c r="A355" s="5" t="s">
        <v>174</v>
      </c>
      <c r="B355" s="2">
        <v>228</v>
      </c>
      <c r="C355" s="2"/>
      <c r="D355" s="2">
        <v>228</v>
      </c>
    </row>
    <row r="356" spans="1:4" x14ac:dyDescent="0.3">
      <c r="A356" s="4" t="s">
        <v>145</v>
      </c>
      <c r="B356" s="2">
        <v>206</v>
      </c>
      <c r="C356" s="2">
        <v>236</v>
      </c>
      <c r="D356" s="2">
        <v>442</v>
      </c>
    </row>
    <row r="357" spans="1:4" x14ac:dyDescent="0.3">
      <c r="A357" s="5" t="s">
        <v>145</v>
      </c>
      <c r="B357" s="2">
        <v>206</v>
      </c>
      <c r="C357" s="2">
        <v>236</v>
      </c>
      <c r="D357" s="2">
        <v>442</v>
      </c>
    </row>
    <row r="358" spans="1:4" x14ac:dyDescent="0.3">
      <c r="A358" s="4" t="s">
        <v>149</v>
      </c>
      <c r="B358" s="2"/>
      <c r="C358" s="2">
        <v>133</v>
      </c>
      <c r="D358" s="2">
        <v>133</v>
      </c>
    </row>
    <row r="359" spans="1:4" x14ac:dyDescent="0.3">
      <c r="A359" s="5" t="s">
        <v>149</v>
      </c>
      <c r="B359" s="2"/>
      <c r="C359" s="2">
        <v>133</v>
      </c>
      <c r="D359" s="2">
        <v>133</v>
      </c>
    </row>
    <row r="360" spans="1:4" x14ac:dyDescent="0.3">
      <c r="A360" s="4" t="s">
        <v>150</v>
      </c>
      <c r="B360" s="2"/>
      <c r="C360" s="2">
        <v>155</v>
      </c>
      <c r="D360" s="2">
        <v>155</v>
      </c>
    </row>
    <row r="361" spans="1:4" x14ac:dyDescent="0.3">
      <c r="A361" s="5" t="s">
        <v>150</v>
      </c>
      <c r="B361" s="2"/>
      <c r="C361" s="2">
        <v>155</v>
      </c>
      <c r="D361" s="2">
        <v>155</v>
      </c>
    </row>
    <row r="362" spans="1:4" x14ac:dyDescent="0.3">
      <c r="A362" s="4" t="s">
        <v>151</v>
      </c>
      <c r="B362" s="2">
        <v>179</v>
      </c>
      <c r="C362" s="2"/>
      <c r="D362" s="2">
        <v>179</v>
      </c>
    </row>
    <row r="363" spans="1:4" x14ac:dyDescent="0.3">
      <c r="A363" s="5" t="s">
        <v>151</v>
      </c>
      <c r="B363" s="2">
        <v>179</v>
      </c>
      <c r="C363" s="2"/>
      <c r="D363" s="2">
        <v>179</v>
      </c>
    </row>
    <row r="364" spans="1:4" x14ac:dyDescent="0.3">
      <c r="A364" s="4" t="s">
        <v>184</v>
      </c>
      <c r="B364" s="2">
        <v>2642</v>
      </c>
      <c r="C364" s="2">
        <v>11210</v>
      </c>
      <c r="D364" s="2">
        <v>13852</v>
      </c>
    </row>
  </sheetData>
  <pageMargins left="0.7" right="0.7" top="0.75" bottom="0.75" header="0.3" footer="0.3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Button1_Click">
                <anchor moveWithCells="1">
                  <from>
                    <xdr:col>7</xdr:col>
                    <xdr:colOff>213360</xdr:colOff>
                    <xdr:row>1</xdr:row>
                    <xdr:rowOff>76200</xdr:rowOff>
                  </from>
                  <to>
                    <xdr:col>7</xdr:col>
                    <xdr:colOff>701040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3" name="Button 2">
              <controlPr defaultSize="0" print="0" autoFill="0" autoPict="0" macro="[0]!Module5.GenerateCricketPivotTables">
                <anchor moveWithCells="1">
                  <from>
                    <xdr:col>2</xdr:col>
                    <xdr:colOff>914400</xdr:colOff>
                    <xdr:row>1</xdr:row>
                    <xdr:rowOff>99060</xdr:rowOff>
                  </from>
                  <to>
                    <xdr:col>3</xdr:col>
                    <xdr:colOff>487680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46CF-B29A-4BD5-A679-0E7D36AB2F09}">
  <sheetPr codeName="Sheet2"/>
  <dimension ref="A1:X75"/>
  <sheetViews>
    <sheetView workbookViewId="0">
      <selection activeCell="Z13" sqref="Z13"/>
    </sheetView>
  </sheetViews>
  <sheetFormatPr defaultRowHeight="14.4" x14ac:dyDescent="0.3"/>
  <cols>
    <col min="1" max="1" width="10.6640625" customWidth="1"/>
    <col min="2" max="2" width="13.109375" customWidth="1"/>
    <col min="3" max="3" width="11.6640625" customWidth="1"/>
    <col min="9" max="9" width="12.6640625" customWidth="1"/>
    <col min="10" max="10" width="14.21875" customWidth="1"/>
    <col min="11" max="11" width="15.6640625" customWidth="1"/>
    <col min="12" max="12" width="15" customWidth="1"/>
    <col min="13" max="13" width="18.33203125" customWidth="1"/>
    <col min="14" max="14" width="17.6640625" customWidth="1"/>
    <col min="15" max="15" width="13.77734375" customWidth="1"/>
    <col min="16" max="16" width="14.5546875" customWidth="1"/>
    <col min="17" max="17" width="9.6640625" customWidth="1"/>
    <col min="18" max="18" width="12.5546875" customWidth="1"/>
    <col min="19" max="19" width="10.5546875" customWidth="1"/>
    <col min="20" max="20" width="20" customWidth="1"/>
    <col min="21" max="21" width="11.6640625" customWidth="1"/>
    <col min="22" max="22" width="10.88671875" customWidth="1"/>
    <col min="23" max="23" width="13.77734375" customWidth="1"/>
    <col min="24" max="24" width="19.21875" customWidth="1"/>
  </cols>
  <sheetData>
    <row r="1" spans="1:24" x14ac:dyDescent="0.3">
      <c r="A1" t="s">
        <v>0</v>
      </c>
      <c r="B1" t="s">
        <v>179</v>
      </c>
      <c r="C1" t="s">
        <v>180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189</v>
      </c>
      <c r="X1" t="s">
        <v>190</v>
      </c>
    </row>
    <row r="2" spans="1:24" x14ac:dyDescent="0.3">
      <c r="A2">
        <v>1</v>
      </c>
      <c r="B2" t="str">
        <f>TEXT(D2,"MMM")</f>
        <v>March 22,2025</v>
      </c>
      <c r="C2" t="str">
        <f>TEXT(D2,"YYY")</f>
        <v>March 22,2025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23</v>
      </c>
      <c r="J2" t="s">
        <v>25</v>
      </c>
      <c r="K2">
        <v>174</v>
      </c>
      <c r="L2">
        <v>8</v>
      </c>
      <c r="M2">
        <v>177</v>
      </c>
      <c r="N2">
        <v>3</v>
      </c>
      <c r="O2" t="s">
        <v>26</v>
      </c>
      <c r="P2" t="s">
        <v>23</v>
      </c>
      <c r="R2">
        <v>7</v>
      </c>
      <c r="S2">
        <v>22</v>
      </c>
      <c r="T2" t="s">
        <v>27</v>
      </c>
      <c r="U2" t="s">
        <v>28</v>
      </c>
      <c r="V2">
        <v>59</v>
      </c>
      <c r="W2">
        <v>1899</v>
      </c>
      <c r="X2" t="s">
        <v>191</v>
      </c>
    </row>
    <row r="3" spans="1:24" x14ac:dyDescent="0.3">
      <c r="A3">
        <v>2</v>
      </c>
      <c r="B3" t="str">
        <f t="shared" ref="B3:B66" si="0">TEXT(D3,"MMM")</f>
        <v>March 23,2025</v>
      </c>
      <c r="C3" t="str">
        <f t="shared" ref="C3:C66" si="1">TEXT(D3,"YYY")</f>
        <v>March 23,2025</v>
      </c>
      <c r="D3" t="s">
        <v>29</v>
      </c>
      <c r="E3" t="s">
        <v>30</v>
      </c>
      <c r="F3" t="s">
        <v>31</v>
      </c>
      <c r="G3" t="s">
        <v>32</v>
      </c>
      <c r="H3" t="s">
        <v>24</v>
      </c>
      <c r="I3" t="s">
        <v>32</v>
      </c>
      <c r="J3" t="s">
        <v>25</v>
      </c>
      <c r="K3">
        <v>286</v>
      </c>
      <c r="L3">
        <v>6</v>
      </c>
      <c r="M3">
        <v>242</v>
      </c>
      <c r="N3">
        <v>6</v>
      </c>
      <c r="O3" t="s">
        <v>26</v>
      </c>
      <c r="P3" t="s">
        <v>31</v>
      </c>
      <c r="Q3">
        <v>44</v>
      </c>
      <c r="S3">
        <v>0</v>
      </c>
      <c r="T3" t="s">
        <v>33</v>
      </c>
      <c r="U3" t="s">
        <v>33</v>
      </c>
      <c r="V3">
        <v>106</v>
      </c>
      <c r="W3">
        <v>1900</v>
      </c>
      <c r="X3" t="s">
        <v>192</v>
      </c>
    </row>
    <row r="4" spans="1:24" x14ac:dyDescent="0.3">
      <c r="A4">
        <v>3</v>
      </c>
      <c r="B4" t="str">
        <f t="shared" si="0"/>
        <v>March 23,2025</v>
      </c>
      <c r="C4" t="str">
        <f t="shared" si="1"/>
        <v>March 23,2025</v>
      </c>
      <c r="D4" t="s">
        <v>29</v>
      </c>
      <c r="E4" t="s">
        <v>34</v>
      </c>
      <c r="F4" t="s">
        <v>35</v>
      </c>
      <c r="G4" t="s">
        <v>36</v>
      </c>
      <c r="H4" t="s">
        <v>24</v>
      </c>
      <c r="I4" t="s">
        <v>35</v>
      </c>
      <c r="J4" t="s">
        <v>25</v>
      </c>
      <c r="K4">
        <v>155</v>
      </c>
      <c r="L4">
        <v>9</v>
      </c>
      <c r="M4">
        <v>158</v>
      </c>
      <c r="N4">
        <v>6</v>
      </c>
      <c r="O4" t="s">
        <v>26</v>
      </c>
      <c r="P4" t="s">
        <v>35</v>
      </c>
      <c r="R4">
        <v>4</v>
      </c>
      <c r="S4">
        <v>5</v>
      </c>
      <c r="T4" t="s">
        <v>37</v>
      </c>
      <c r="U4" t="s">
        <v>38</v>
      </c>
      <c r="V4">
        <v>65</v>
      </c>
      <c r="W4">
        <v>1900</v>
      </c>
      <c r="X4" t="s">
        <v>192</v>
      </c>
    </row>
    <row r="5" spans="1:24" x14ac:dyDescent="0.3">
      <c r="A5">
        <v>4</v>
      </c>
      <c r="B5" t="str">
        <f t="shared" si="0"/>
        <v>March 24,2025</v>
      </c>
      <c r="C5" t="str">
        <f t="shared" si="1"/>
        <v>March 24,2025</v>
      </c>
      <c r="D5" t="s">
        <v>39</v>
      </c>
      <c r="E5" t="s">
        <v>40</v>
      </c>
      <c r="F5" t="s">
        <v>41</v>
      </c>
      <c r="G5" t="s">
        <v>42</v>
      </c>
      <c r="H5" t="s">
        <v>24</v>
      </c>
      <c r="I5" t="s">
        <v>41</v>
      </c>
      <c r="J5" t="s">
        <v>25</v>
      </c>
      <c r="K5">
        <v>209</v>
      </c>
      <c r="L5">
        <v>8</v>
      </c>
      <c r="M5">
        <v>211</v>
      </c>
      <c r="N5">
        <v>9</v>
      </c>
      <c r="O5" t="s">
        <v>26</v>
      </c>
      <c r="P5" t="s">
        <v>41</v>
      </c>
      <c r="R5">
        <v>1</v>
      </c>
      <c r="S5">
        <v>3</v>
      </c>
      <c r="T5" t="s">
        <v>43</v>
      </c>
      <c r="U5" t="s">
        <v>44</v>
      </c>
      <c r="V5">
        <v>75</v>
      </c>
      <c r="W5">
        <v>1900</v>
      </c>
      <c r="X5" t="s">
        <v>192</v>
      </c>
    </row>
    <row r="6" spans="1:24" x14ac:dyDescent="0.3">
      <c r="A6">
        <v>5</v>
      </c>
      <c r="B6" t="str">
        <f t="shared" si="0"/>
        <v>March 25,2025</v>
      </c>
      <c r="C6" t="str">
        <f t="shared" si="1"/>
        <v>March 25,2025</v>
      </c>
      <c r="D6" t="s">
        <v>46</v>
      </c>
      <c r="E6" t="s">
        <v>47</v>
      </c>
      <c r="F6" t="s">
        <v>48</v>
      </c>
      <c r="G6" t="s">
        <v>49</v>
      </c>
      <c r="H6" t="s">
        <v>24</v>
      </c>
      <c r="I6" t="s">
        <v>48</v>
      </c>
      <c r="J6" t="s">
        <v>25</v>
      </c>
      <c r="K6">
        <v>243</v>
      </c>
      <c r="L6">
        <v>5</v>
      </c>
      <c r="M6">
        <v>232</v>
      </c>
      <c r="N6">
        <v>5</v>
      </c>
      <c r="O6" t="s">
        <v>26</v>
      </c>
      <c r="P6" t="s">
        <v>49</v>
      </c>
      <c r="Q6">
        <v>11</v>
      </c>
      <c r="S6">
        <v>0</v>
      </c>
      <c r="T6" t="s">
        <v>50</v>
      </c>
      <c r="U6" t="s">
        <v>50</v>
      </c>
      <c r="V6">
        <v>97</v>
      </c>
      <c r="W6">
        <v>1900</v>
      </c>
      <c r="X6" t="s">
        <v>192</v>
      </c>
    </row>
    <row r="7" spans="1:24" x14ac:dyDescent="0.3">
      <c r="A7">
        <v>6</v>
      </c>
      <c r="B7" t="str">
        <f t="shared" si="0"/>
        <v>March 26,2025</v>
      </c>
      <c r="C7" t="str">
        <f t="shared" si="1"/>
        <v>March 26,2025</v>
      </c>
      <c r="D7" t="s">
        <v>51</v>
      </c>
      <c r="E7" t="s">
        <v>52</v>
      </c>
      <c r="F7" t="s">
        <v>32</v>
      </c>
      <c r="G7" t="s">
        <v>22</v>
      </c>
      <c r="H7" t="s">
        <v>24</v>
      </c>
      <c r="I7" t="s">
        <v>22</v>
      </c>
      <c r="J7" t="s">
        <v>25</v>
      </c>
      <c r="K7">
        <v>151</v>
      </c>
      <c r="L7">
        <v>9</v>
      </c>
      <c r="M7">
        <v>153</v>
      </c>
      <c r="N7">
        <v>2</v>
      </c>
      <c r="O7" t="s">
        <v>26</v>
      </c>
      <c r="P7" t="s">
        <v>22</v>
      </c>
      <c r="R7">
        <v>8</v>
      </c>
      <c r="S7">
        <v>15</v>
      </c>
      <c r="T7" t="s">
        <v>53</v>
      </c>
      <c r="U7" t="s">
        <v>53</v>
      </c>
      <c r="V7">
        <v>97</v>
      </c>
      <c r="W7">
        <v>1900</v>
      </c>
      <c r="X7" t="s">
        <v>192</v>
      </c>
    </row>
    <row r="8" spans="1:24" x14ac:dyDescent="0.3">
      <c r="A8">
        <v>7</v>
      </c>
      <c r="B8" t="str">
        <f t="shared" si="0"/>
        <v>March 27,2025</v>
      </c>
      <c r="C8" t="str">
        <f t="shared" si="1"/>
        <v>March 27,2025</v>
      </c>
      <c r="D8" t="s">
        <v>54</v>
      </c>
      <c r="E8" t="s">
        <v>30</v>
      </c>
      <c r="F8" t="s">
        <v>31</v>
      </c>
      <c r="G8" t="s">
        <v>42</v>
      </c>
      <c r="H8" t="s">
        <v>24</v>
      </c>
      <c r="I8" t="s">
        <v>42</v>
      </c>
      <c r="J8" t="s">
        <v>25</v>
      </c>
      <c r="K8">
        <v>190</v>
      </c>
      <c r="L8">
        <v>9</v>
      </c>
      <c r="M8">
        <v>193</v>
      </c>
      <c r="N8">
        <v>5</v>
      </c>
      <c r="O8" t="s">
        <v>26</v>
      </c>
      <c r="P8" t="s">
        <v>42</v>
      </c>
      <c r="R8">
        <v>5</v>
      </c>
      <c r="S8">
        <v>23</v>
      </c>
      <c r="T8" t="s">
        <v>55</v>
      </c>
      <c r="U8" t="s">
        <v>44</v>
      </c>
      <c r="V8">
        <v>70</v>
      </c>
      <c r="W8">
        <v>1900</v>
      </c>
      <c r="X8" t="s">
        <v>192</v>
      </c>
    </row>
    <row r="9" spans="1:24" x14ac:dyDescent="0.3">
      <c r="A9">
        <v>8</v>
      </c>
      <c r="B9" t="str">
        <f t="shared" si="0"/>
        <v>March 28,2025</v>
      </c>
      <c r="C9" t="str">
        <f t="shared" si="1"/>
        <v>March 28,2025</v>
      </c>
      <c r="D9" t="s">
        <v>56</v>
      </c>
      <c r="E9" t="s">
        <v>34</v>
      </c>
      <c r="F9" t="s">
        <v>35</v>
      </c>
      <c r="G9" t="s">
        <v>23</v>
      </c>
      <c r="H9" t="s">
        <v>24</v>
      </c>
      <c r="I9" t="s">
        <v>35</v>
      </c>
      <c r="J9" t="s">
        <v>25</v>
      </c>
      <c r="K9">
        <v>196</v>
      </c>
      <c r="L9">
        <v>7</v>
      </c>
      <c r="M9">
        <v>146</v>
      </c>
      <c r="N9">
        <v>8</v>
      </c>
      <c r="O9" t="s">
        <v>26</v>
      </c>
      <c r="P9" t="s">
        <v>23</v>
      </c>
      <c r="Q9">
        <v>50</v>
      </c>
      <c r="S9">
        <v>0</v>
      </c>
      <c r="T9" t="s">
        <v>57</v>
      </c>
      <c r="U9" t="s">
        <v>57</v>
      </c>
      <c r="V9">
        <v>51</v>
      </c>
      <c r="W9">
        <v>1900</v>
      </c>
      <c r="X9" t="s">
        <v>192</v>
      </c>
    </row>
    <row r="10" spans="1:24" x14ac:dyDescent="0.3">
      <c r="A10">
        <v>9</v>
      </c>
      <c r="B10" t="str">
        <f t="shared" si="0"/>
        <v>March 29,2025</v>
      </c>
      <c r="C10" t="str">
        <f t="shared" si="1"/>
        <v>March 29,2025</v>
      </c>
      <c r="D10" t="s">
        <v>59</v>
      </c>
      <c r="E10" t="s">
        <v>47</v>
      </c>
      <c r="F10" t="s">
        <v>48</v>
      </c>
      <c r="G10" t="s">
        <v>36</v>
      </c>
      <c r="H10" t="s">
        <v>24</v>
      </c>
      <c r="I10" t="s">
        <v>36</v>
      </c>
      <c r="J10" t="s">
        <v>25</v>
      </c>
      <c r="K10">
        <v>196</v>
      </c>
      <c r="L10">
        <v>8</v>
      </c>
      <c r="M10">
        <v>160</v>
      </c>
      <c r="N10">
        <v>6</v>
      </c>
      <c r="O10" t="s">
        <v>26</v>
      </c>
      <c r="P10" t="s">
        <v>48</v>
      </c>
      <c r="Q10">
        <v>36</v>
      </c>
      <c r="S10">
        <v>0</v>
      </c>
      <c r="T10" t="s">
        <v>60</v>
      </c>
      <c r="U10" t="s">
        <v>61</v>
      </c>
      <c r="V10">
        <v>63</v>
      </c>
      <c r="W10">
        <v>1900</v>
      </c>
      <c r="X10" t="s">
        <v>192</v>
      </c>
    </row>
    <row r="11" spans="1:24" x14ac:dyDescent="0.3">
      <c r="A11">
        <v>10</v>
      </c>
      <c r="B11" t="str">
        <f t="shared" si="0"/>
        <v>March 30,2025</v>
      </c>
      <c r="C11" t="str">
        <f t="shared" si="1"/>
        <v>March 30,2025</v>
      </c>
      <c r="D11" t="s">
        <v>62</v>
      </c>
      <c r="E11" t="s">
        <v>40</v>
      </c>
      <c r="F11" t="s">
        <v>41</v>
      </c>
      <c r="G11" t="s">
        <v>31</v>
      </c>
      <c r="H11" t="s">
        <v>24</v>
      </c>
      <c r="I11" t="s">
        <v>31</v>
      </c>
      <c r="J11" t="s">
        <v>63</v>
      </c>
      <c r="K11">
        <v>163</v>
      </c>
      <c r="L11">
        <v>10</v>
      </c>
      <c r="M11">
        <v>166</v>
      </c>
      <c r="N11">
        <v>3</v>
      </c>
      <c r="O11" t="s">
        <v>26</v>
      </c>
      <c r="P11" t="s">
        <v>41</v>
      </c>
      <c r="R11">
        <v>7</v>
      </c>
      <c r="S11">
        <v>24</v>
      </c>
      <c r="T11" t="s">
        <v>45</v>
      </c>
      <c r="U11" t="s">
        <v>64</v>
      </c>
      <c r="V11">
        <v>74</v>
      </c>
      <c r="W11">
        <v>1900</v>
      </c>
      <c r="X11" t="s">
        <v>192</v>
      </c>
    </row>
    <row r="12" spans="1:24" x14ac:dyDescent="0.3">
      <c r="A12">
        <v>11</v>
      </c>
      <c r="B12" t="str">
        <f t="shared" si="0"/>
        <v>March 30,2025</v>
      </c>
      <c r="C12" t="str">
        <f t="shared" si="1"/>
        <v>March 30,2025</v>
      </c>
      <c r="D12" t="s">
        <v>62</v>
      </c>
      <c r="E12" t="s">
        <v>52</v>
      </c>
      <c r="F12" t="s">
        <v>32</v>
      </c>
      <c r="G12" t="s">
        <v>35</v>
      </c>
      <c r="H12" t="s">
        <v>24</v>
      </c>
      <c r="I12" t="s">
        <v>35</v>
      </c>
      <c r="J12" t="s">
        <v>25</v>
      </c>
      <c r="K12">
        <v>182</v>
      </c>
      <c r="L12">
        <v>9</v>
      </c>
      <c r="M12">
        <v>176</v>
      </c>
      <c r="N12">
        <v>6</v>
      </c>
      <c r="O12" t="s">
        <v>26</v>
      </c>
      <c r="P12" t="s">
        <v>32</v>
      </c>
      <c r="Q12">
        <v>6</v>
      </c>
      <c r="S12">
        <v>0</v>
      </c>
      <c r="T12" t="s">
        <v>65</v>
      </c>
      <c r="U12" t="s">
        <v>65</v>
      </c>
      <c r="V12">
        <v>81</v>
      </c>
      <c r="W12">
        <v>1900</v>
      </c>
      <c r="X12" t="s">
        <v>192</v>
      </c>
    </row>
    <row r="13" spans="1:24" x14ac:dyDescent="0.3">
      <c r="A13">
        <v>12</v>
      </c>
      <c r="B13" t="str">
        <f t="shared" si="0"/>
        <v>March 31,2025</v>
      </c>
      <c r="C13" t="str">
        <f t="shared" si="1"/>
        <v>March 31,2025</v>
      </c>
      <c r="D13" t="s">
        <v>66</v>
      </c>
      <c r="E13" t="s">
        <v>67</v>
      </c>
      <c r="F13" t="s">
        <v>36</v>
      </c>
      <c r="G13" t="s">
        <v>22</v>
      </c>
      <c r="H13" t="s">
        <v>24</v>
      </c>
      <c r="I13" t="s">
        <v>36</v>
      </c>
      <c r="J13" t="s">
        <v>25</v>
      </c>
      <c r="K13">
        <v>116</v>
      </c>
      <c r="L13">
        <v>10</v>
      </c>
      <c r="M13">
        <v>121</v>
      </c>
      <c r="N13">
        <v>2</v>
      </c>
      <c r="O13" t="s">
        <v>26</v>
      </c>
      <c r="P13" t="s">
        <v>36</v>
      </c>
      <c r="R13">
        <v>8</v>
      </c>
      <c r="S13">
        <v>43</v>
      </c>
      <c r="T13" t="s">
        <v>68</v>
      </c>
      <c r="U13" t="s">
        <v>69</v>
      </c>
      <c r="V13">
        <v>62</v>
      </c>
      <c r="W13">
        <v>1900</v>
      </c>
      <c r="X13" t="s">
        <v>192</v>
      </c>
    </row>
    <row r="14" spans="1:24" x14ac:dyDescent="0.3">
      <c r="A14">
        <v>13</v>
      </c>
      <c r="B14" t="str">
        <f t="shared" si="0"/>
        <v>April 01,2025</v>
      </c>
      <c r="C14" t="str">
        <f t="shared" si="1"/>
        <v>April 01,2025</v>
      </c>
      <c r="D14" t="s">
        <v>70</v>
      </c>
      <c r="E14" t="s">
        <v>71</v>
      </c>
      <c r="F14" t="s">
        <v>42</v>
      </c>
      <c r="G14" t="s">
        <v>49</v>
      </c>
      <c r="H14" t="s">
        <v>24</v>
      </c>
      <c r="I14" t="s">
        <v>49</v>
      </c>
      <c r="J14" t="s">
        <v>25</v>
      </c>
      <c r="K14">
        <v>171</v>
      </c>
      <c r="L14">
        <v>7</v>
      </c>
      <c r="M14">
        <v>177</v>
      </c>
      <c r="N14">
        <v>2</v>
      </c>
      <c r="O14" t="s">
        <v>26</v>
      </c>
      <c r="P14" t="s">
        <v>49</v>
      </c>
      <c r="R14">
        <v>8</v>
      </c>
      <c r="S14">
        <v>22</v>
      </c>
      <c r="T14" t="s">
        <v>72</v>
      </c>
      <c r="U14" t="s">
        <v>72</v>
      </c>
      <c r="V14">
        <v>69</v>
      </c>
      <c r="W14">
        <v>1900</v>
      </c>
      <c r="X14" t="s">
        <v>192</v>
      </c>
    </row>
    <row r="15" spans="1:24" x14ac:dyDescent="0.3">
      <c r="A15">
        <v>14</v>
      </c>
      <c r="B15" t="str">
        <f t="shared" si="0"/>
        <v>April 02,2025</v>
      </c>
      <c r="C15" t="str">
        <f t="shared" si="1"/>
        <v>April 02,2025</v>
      </c>
      <c r="D15" t="s">
        <v>73</v>
      </c>
      <c r="E15" t="s">
        <v>74</v>
      </c>
      <c r="F15" t="s">
        <v>23</v>
      </c>
      <c r="G15" t="s">
        <v>48</v>
      </c>
      <c r="H15" t="s">
        <v>24</v>
      </c>
      <c r="I15" t="s">
        <v>48</v>
      </c>
      <c r="J15" t="s">
        <v>25</v>
      </c>
      <c r="K15">
        <v>169</v>
      </c>
      <c r="L15">
        <v>8</v>
      </c>
      <c r="M15">
        <v>170</v>
      </c>
      <c r="N15">
        <v>2</v>
      </c>
      <c r="O15" t="s">
        <v>26</v>
      </c>
      <c r="P15" t="s">
        <v>48</v>
      </c>
      <c r="R15">
        <v>8</v>
      </c>
      <c r="S15">
        <v>13</v>
      </c>
      <c r="T15" t="s">
        <v>75</v>
      </c>
      <c r="U15" t="s">
        <v>76</v>
      </c>
      <c r="V15">
        <v>73</v>
      </c>
      <c r="W15">
        <v>1900</v>
      </c>
      <c r="X15" t="s">
        <v>192</v>
      </c>
    </row>
    <row r="16" spans="1:24" x14ac:dyDescent="0.3">
      <c r="A16">
        <v>15</v>
      </c>
      <c r="B16" t="str">
        <f t="shared" si="0"/>
        <v>April 03,2025</v>
      </c>
      <c r="C16" t="str">
        <f t="shared" si="1"/>
        <v>April 03,2025</v>
      </c>
      <c r="D16" t="s">
        <v>77</v>
      </c>
      <c r="E16" t="s">
        <v>21</v>
      </c>
      <c r="F16" t="s">
        <v>22</v>
      </c>
      <c r="G16" t="s">
        <v>31</v>
      </c>
      <c r="H16" t="s">
        <v>24</v>
      </c>
      <c r="I16" t="s">
        <v>31</v>
      </c>
      <c r="J16" t="s">
        <v>25</v>
      </c>
      <c r="K16">
        <v>200</v>
      </c>
      <c r="L16">
        <v>6</v>
      </c>
      <c r="M16">
        <v>120</v>
      </c>
      <c r="N16">
        <v>10</v>
      </c>
      <c r="O16" t="s">
        <v>26</v>
      </c>
      <c r="P16" t="s">
        <v>22</v>
      </c>
      <c r="Q16">
        <v>80</v>
      </c>
      <c r="S16">
        <v>20</v>
      </c>
      <c r="T16" t="s">
        <v>78</v>
      </c>
      <c r="U16" t="s">
        <v>79</v>
      </c>
      <c r="V16">
        <v>60</v>
      </c>
      <c r="W16">
        <v>1900</v>
      </c>
      <c r="X16" t="s">
        <v>192</v>
      </c>
    </row>
    <row r="17" spans="1:24" x14ac:dyDescent="0.3">
      <c r="A17">
        <v>16</v>
      </c>
      <c r="B17" t="str">
        <f t="shared" si="0"/>
        <v>April 04,2025</v>
      </c>
      <c r="C17" t="str">
        <f t="shared" si="1"/>
        <v>April 04,2025</v>
      </c>
      <c r="D17" t="s">
        <v>80</v>
      </c>
      <c r="E17" t="s">
        <v>71</v>
      </c>
      <c r="F17" t="s">
        <v>42</v>
      </c>
      <c r="G17" t="s">
        <v>36</v>
      </c>
      <c r="H17" t="s">
        <v>24</v>
      </c>
      <c r="I17" t="s">
        <v>36</v>
      </c>
      <c r="J17" t="s">
        <v>25</v>
      </c>
      <c r="K17">
        <v>203</v>
      </c>
      <c r="L17">
        <v>8</v>
      </c>
      <c r="M17">
        <v>191</v>
      </c>
      <c r="N17">
        <v>5</v>
      </c>
      <c r="O17" t="s">
        <v>26</v>
      </c>
      <c r="P17" t="s">
        <v>42</v>
      </c>
      <c r="Q17">
        <v>12</v>
      </c>
      <c r="S17">
        <v>0</v>
      </c>
      <c r="T17" t="s">
        <v>81</v>
      </c>
      <c r="U17" t="s">
        <v>82</v>
      </c>
      <c r="V17">
        <v>67</v>
      </c>
      <c r="W17">
        <v>1900</v>
      </c>
      <c r="X17" t="s">
        <v>192</v>
      </c>
    </row>
    <row r="18" spans="1:24" x14ac:dyDescent="0.3">
      <c r="A18">
        <v>17</v>
      </c>
      <c r="B18" t="str">
        <f t="shared" si="0"/>
        <v>April 05,2025</v>
      </c>
      <c r="C18" t="str">
        <f t="shared" si="1"/>
        <v>April 05,2025</v>
      </c>
      <c r="D18" t="s">
        <v>83</v>
      </c>
      <c r="E18" t="s">
        <v>34</v>
      </c>
      <c r="F18" t="s">
        <v>35</v>
      </c>
      <c r="G18" t="s">
        <v>41</v>
      </c>
      <c r="H18" t="s">
        <v>24</v>
      </c>
      <c r="I18" t="s">
        <v>41</v>
      </c>
      <c r="J18" t="s">
        <v>63</v>
      </c>
      <c r="K18">
        <v>183</v>
      </c>
      <c r="L18">
        <v>6</v>
      </c>
      <c r="M18">
        <v>158</v>
      </c>
      <c r="N18">
        <v>5</v>
      </c>
      <c r="O18" t="s">
        <v>26</v>
      </c>
      <c r="P18" t="s">
        <v>41</v>
      </c>
      <c r="Q18">
        <v>25</v>
      </c>
      <c r="S18">
        <v>0</v>
      </c>
      <c r="T18" t="s">
        <v>84</v>
      </c>
      <c r="U18" t="s">
        <v>84</v>
      </c>
      <c r="V18">
        <v>77</v>
      </c>
      <c r="W18">
        <v>1900</v>
      </c>
      <c r="X18" t="s">
        <v>192</v>
      </c>
    </row>
    <row r="19" spans="1:24" x14ac:dyDescent="0.3">
      <c r="A19">
        <v>18</v>
      </c>
      <c r="B19" t="str">
        <f t="shared" si="0"/>
        <v>April 05,2025</v>
      </c>
      <c r="C19" t="str">
        <f t="shared" si="1"/>
        <v>April 05,2025</v>
      </c>
      <c r="D19" t="s">
        <v>83</v>
      </c>
      <c r="E19" t="s">
        <v>85</v>
      </c>
      <c r="F19" t="s">
        <v>49</v>
      </c>
      <c r="G19" t="s">
        <v>32</v>
      </c>
      <c r="H19" t="s">
        <v>24</v>
      </c>
      <c r="I19" t="s">
        <v>49</v>
      </c>
      <c r="J19" t="s">
        <v>25</v>
      </c>
      <c r="K19">
        <v>205</v>
      </c>
      <c r="L19">
        <v>4</v>
      </c>
      <c r="M19">
        <v>155</v>
      </c>
      <c r="N19">
        <v>9</v>
      </c>
      <c r="O19" t="s">
        <v>26</v>
      </c>
      <c r="P19" t="s">
        <v>32</v>
      </c>
      <c r="Q19">
        <v>50</v>
      </c>
      <c r="S19">
        <v>0</v>
      </c>
      <c r="T19" t="s">
        <v>86</v>
      </c>
      <c r="U19" t="s">
        <v>87</v>
      </c>
      <c r="V19">
        <v>67</v>
      </c>
      <c r="W19">
        <v>1900</v>
      </c>
      <c r="X19" t="s">
        <v>192</v>
      </c>
    </row>
    <row r="20" spans="1:24" x14ac:dyDescent="0.3">
      <c r="A20">
        <v>19</v>
      </c>
      <c r="B20" t="str">
        <f t="shared" si="0"/>
        <v>April 06,2025</v>
      </c>
      <c r="C20" t="str">
        <f t="shared" si="1"/>
        <v>April 06,2025</v>
      </c>
      <c r="D20" t="s">
        <v>88</v>
      </c>
      <c r="E20" t="s">
        <v>30</v>
      </c>
      <c r="F20" t="s">
        <v>31</v>
      </c>
      <c r="G20" t="s">
        <v>48</v>
      </c>
      <c r="H20" t="s">
        <v>24</v>
      </c>
      <c r="I20" t="s">
        <v>48</v>
      </c>
      <c r="J20" t="s">
        <v>25</v>
      </c>
      <c r="K20">
        <v>152</v>
      </c>
      <c r="L20">
        <v>8</v>
      </c>
      <c r="M20">
        <v>153</v>
      </c>
      <c r="N20">
        <v>3</v>
      </c>
      <c r="O20" t="s">
        <v>26</v>
      </c>
      <c r="P20" t="s">
        <v>48</v>
      </c>
      <c r="R20">
        <v>7</v>
      </c>
      <c r="S20">
        <v>20</v>
      </c>
      <c r="T20" t="s">
        <v>75</v>
      </c>
      <c r="U20" t="s">
        <v>89</v>
      </c>
      <c r="V20">
        <v>61</v>
      </c>
      <c r="W20">
        <v>1900</v>
      </c>
      <c r="X20" t="s">
        <v>192</v>
      </c>
    </row>
    <row r="21" spans="1:24" x14ac:dyDescent="0.3">
      <c r="A21">
        <v>20</v>
      </c>
      <c r="B21" t="str">
        <f t="shared" si="0"/>
        <v>April 07,2025</v>
      </c>
      <c r="C21" t="str">
        <f t="shared" si="1"/>
        <v>April 07,2025</v>
      </c>
      <c r="D21" t="s">
        <v>90</v>
      </c>
      <c r="E21" t="s">
        <v>67</v>
      </c>
      <c r="F21" t="s">
        <v>36</v>
      </c>
      <c r="G21" t="s">
        <v>23</v>
      </c>
      <c r="H21" t="s">
        <v>24</v>
      </c>
      <c r="I21" t="s">
        <v>36</v>
      </c>
      <c r="J21" t="s">
        <v>25</v>
      </c>
      <c r="K21">
        <v>221</v>
      </c>
      <c r="L21">
        <v>5</v>
      </c>
      <c r="M21">
        <v>209</v>
      </c>
      <c r="N21">
        <v>9</v>
      </c>
      <c r="O21" t="s">
        <v>26</v>
      </c>
      <c r="P21" t="s">
        <v>23</v>
      </c>
      <c r="Q21">
        <v>12</v>
      </c>
      <c r="S21">
        <v>0</v>
      </c>
      <c r="T21" t="s">
        <v>57</v>
      </c>
      <c r="U21" t="s">
        <v>28</v>
      </c>
      <c r="V21">
        <v>67</v>
      </c>
      <c r="W21">
        <v>1900</v>
      </c>
      <c r="X21" t="s">
        <v>192</v>
      </c>
    </row>
    <row r="22" spans="1:24" x14ac:dyDescent="0.3">
      <c r="A22">
        <v>21</v>
      </c>
      <c r="B22" t="str">
        <f t="shared" si="0"/>
        <v>April 08,2025</v>
      </c>
      <c r="C22" t="str">
        <f t="shared" si="1"/>
        <v>April 08,2025</v>
      </c>
      <c r="D22" t="s">
        <v>91</v>
      </c>
      <c r="E22" t="s">
        <v>21</v>
      </c>
      <c r="F22" t="s">
        <v>22</v>
      </c>
      <c r="G22" t="s">
        <v>42</v>
      </c>
      <c r="H22" t="s">
        <v>24</v>
      </c>
      <c r="I22" t="s">
        <v>22</v>
      </c>
      <c r="J22" t="s">
        <v>25</v>
      </c>
      <c r="K22">
        <v>238</v>
      </c>
      <c r="L22">
        <v>3</v>
      </c>
      <c r="M22">
        <v>234</v>
      </c>
      <c r="N22">
        <v>7</v>
      </c>
      <c r="O22" t="s">
        <v>26</v>
      </c>
      <c r="P22" t="s">
        <v>42</v>
      </c>
      <c r="Q22">
        <v>4</v>
      </c>
      <c r="S22">
        <v>0</v>
      </c>
      <c r="T22" t="s">
        <v>44</v>
      </c>
      <c r="U22" t="s">
        <v>44</v>
      </c>
      <c r="V22">
        <v>87</v>
      </c>
      <c r="W22">
        <v>1900</v>
      </c>
      <c r="X22" t="s">
        <v>192</v>
      </c>
    </row>
    <row r="23" spans="1:24" x14ac:dyDescent="0.3">
      <c r="A23">
        <v>22</v>
      </c>
      <c r="B23" t="str">
        <f t="shared" si="0"/>
        <v>April 08,2025</v>
      </c>
      <c r="C23" t="str">
        <f t="shared" si="1"/>
        <v>April 08,2025</v>
      </c>
      <c r="D23" t="s">
        <v>91</v>
      </c>
      <c r="E23" t="s">
        <v>85</v>
      </c>
      <c r="F23" t="s">
        <v>49</v>
      </c>
      <c r="G23" t="s">
        <v>35</v>
      </c>
      <c r="H23" t="s">
        <v>24</v>
      </c>
      <c r="I23" t="s">
        <v>49</v>
      </c>
      <c r="J23" t="s">
        <v>63</v>
      </c>
      <c r="K23">
        <v>219</v>
      </c>
      <c r="L23">
        <v>6</v>
      </c>
      <c r="M23">
        <v>201</v>
      </c>
      <c r="N23">
        <v>5</v>
      </c>
      <c r="O23" t="s">
        <v>26</v>
      </c>
      <c r="P23" t="s">
        <v>49</v>
      </c>
      <c r="Q23">
        <v>18</v>
      </c>
      <c r="S23">
        <v>0</v>
      </c>
      <c r="T23" t="s">
        <v>92</v>
      </c>
      <c r="U23" t="s">
        <v>92</v>
      </c>
      <c r="V23">
        <v>103</v>
      </c>
      <c r="W23">
        <v>1900</v>
      </c>
      <c r="X23" t="s">
        <v>192</v>
      </c>
    </row>
    <row r="24" spans="1:24" x14ac:dyDescent="0.3">
      <c r="A24">
        <v>23</v>
      </c>
      <c r="B24" t="str">
        <f t="shared" si="0"/>
        <v>April 09,2025</v>
      </c>
      <c r="C24" t="str">
        <f t="shared" si="1"/>
        <v>April 09,2025</v>
      </c>
      <c r="D24" t="s">
        <v>93</v>
      </c>
      <c r="E24" t="s">
        <v>47</v>
      </c>
      <c r="F24" t="s">
        <v>48</v>
      </c>
      <c r="G24" t="s">
        <v>32</v>
      </c>
      <c r="H24" t="s">
        <v>24</v>
      </c>
      <c r="I24" t="s">
        <v>32</v>
      </c>
      <c r="J24" t="s">
        <v>25</v>
      </c>
      <c r="K24">
        <v>217</v>
      </c>
      <c r="L24">
        <v>6</v>
      </c>
      <c r="M24">
        <v>159</v>
      </c>
      <c r="N24">
        <v>10</v>
      </c>
      <c r="O24" t="s">
        <v>26</v>
      </c>
      <c r="P24" t="s">
        <v>48</v>
      </c>
      <c r="Q24">
        <v>58</v>
      </c>
      <c r="S24">
        <v>4</v>
      </c>
      <c r="T24" t="s">
        <v>61</v>
      </c>
      <c r="U24" t="s">
        <v>61</v>
      </c>
      <c r="V24">
        <v>82</v>
      </c>
      <c r="W24">
        <v>1900</v>
      </c>
      <c r="X24" t="s">
        <v>192</v>
      </c>
    </row>
    <row r="25" spans="1:24" x14ac:dyDescent="0.3">
      <c r="A25">
        <v>24</v>
      </c>
      <c r="B25" t="str">
        <f t="shared" si="0"/>
        <v>April 10,2025</v>
      </c>
      <c r="C25" t="str">
        <f t="shared" si="1"/>
        <v>April 10,2025</v>
      </c>
      <c r="D25" t="s">
        <v>94</v>
      </c>
      <c r="E25" t="s">
        <v>74</v>
      </c>
      <c r="F25" t="s">
        <v>23</v>
      </c>
      <c r="G25" t="s">
        <v>41</v>
      </c>
      <c r="H25" t="s">
        <v>24</v>
      </c>
      <c r="I25" t="s">
        <v>41</v>
      </c>
      <c r="J25" t="s">
        <v>25</v>
      </c>
      <c r="K25">
        <v>163</v>
      </c>
      <c r="L25">
        <v>7</v>
      </c>
      <c r="M25">
        <v>169</v>
      </c>
      <c r="N25">
        <v>4</v>
      </c>
      <c r="O25" t="s">
        <v>26</v>
      </c>
      <c r="P25" t="s">
        <v>41</v>
      </c>
      <c r="R25">
        <v>6</v>
      </c>
      <c r="S25">
        <v>13</v>
      </c>
      <c r="T25" t="s">
        <v>84</v>
      </c>
      <c r="U25" t="s">
        <v>84</v>
      </c>
      <c r="V25">
        <v>93</v>
      </c>
      <c r="W25">
        <v>1900</v>
      </c>
      <c r="X25" t="s">
        <v>192</v>
      </c>
    </row>
    <row r="26" spans="1:24" x14ac:dyDescent="0.3">
      <c r="A26">
        <v>25</v>
      </c>
      <c r="B26" t="str">
        <f t="shared" si="0"/>
        <v>April 11,2025</v>
      </c>
      <c r="C26" t="str">
        <f t="shared" si="1"/>
        <v>April 11,2025</v>
      </c>
      <c r="D26" t="s">
        <v>95</v>
      </c>
      <c r="E26" t="s">
        <v>34</v>
      </c>
      <c r="F26" t="s">
        <v>35</v>
      </c>
      <c r="G26" t="s">
        <v>22</v>
      </c>
      <c r="H26" t="s">
        <v>24</v>
      </c>
      <c r="I26" t="s">
        <v>22</v>
      </c>
      <c r="J26" t="s">
        <v>25</v>
      </c>
      <c r="K26">
        <v>103</v>
      </c>
      <c r="L26">
        <v>9</v>
      </c>
      <c r="M26">
        <v>107</v>
      </c>
      <c r="N26">
        <v>2</v>
      </c>
      <c r="O26" t="s">
        <v>26</v>
      </c>
      <c r="P26" t="s">
        <v>22</v>
      </c>
      <c r="R26">
        <v>8</v>
      </c>
      <c r="S26">
        <v>59</v>
      </c>
      <c r="T26" t="s">
        <v>96</v>
      </c>
      <c r="U26" t="s">
        <v>96</v>
      </c>
      <c r="V26">
        <v>44</v>
      </c>
      <c r="W26">
        <v>1900</v>
      </c>
      <c r="X26" t="s">
        <v>192</v>
      </c>
    </row>
    <row r="27" spans="1:24" x14ac:dyDescent="0.3">
      <c r="A27">
        <v>26</v>
      </c>
      <c r="B27" t="str">
        <f t="shared" si="0"/>
        <v>April 12,2025</v>
      </c>
      <c r="C27" t="str">
        <f t="shared" si="1"/>
        <v>April 12,2025</v>
      </c>
      <c r="D27" t="s">
        <v>97</v>
      </c>
      <c r="E27" t="s">
        <v>71</v>
      </c>
      <c r="F27" t="s">
        <v>42</v>
      </c>
      <c r="G27" t="s">
        <v>48</v>
      </c>
      <c r="H27" t="s">
        <v>24</v>
      </c>
      <c r="I27" t="s">
        <v>42</v>
      </c>
      <c r="J27" t="s">
        <v>25</v>
      </c>
      <c r="K27">
        <v>180</v>
      </c>
      <c r="L27">
        <v>6</v>
      </c>
      <c r="M27">
        <v>186</v>
      </c>
      <c r="N27">
        <v>4</v>
      </c>
      <c r="O27" t="s">
        <v>26</v>
      </c>
      <c r="P27" t="s">
        <v>42</v>
      </c>
      <c r="R27">
        <v>6</v>
      </c>
      <c r="S27">
        <v>3</v>
      </c>
      <c r="T27" t="s">
        <v>98</v>
      </c>
      <c r="U27" t="s">
        <v>44</v>
      </c>
      <c r="V27">
        <v>61</v>
      </c>
      <c r="W27">
        <v>1900</v>
      </c>
      <c r="X27" t="s">
        <v>192</v>
      </c>
    </row>
    <row r="28" spans="1:24" x14ac:dyDescent="0.3">
      <c r="A28">
        <v>27</v>
      </c>
      <c r="B28" t="str">
        <f t="shared" si="0"/>
        <v>April 12,2025</v>
      </c>
      <c r="C28" t="str">
        <f t="shared" si="1"/>
        <v>April 12,2025</v>
      </c>
      <c r="D28" t="s">
        <v>97</v>
      </c>
      <c r="E28" t="s">
        <v>30</v>
      </c>
      <c r="F28" t="s">
        <v>31</v>
      </c>
      <c r="G28" t="s">
        <v>49</v>
      </c>
      <c r="H28" t="s">
        <v>24</v>
      </c>
      <c r="I28" t="s">
        <v>49</v>
      </c>
      <c r="J28" t="s">
        <v>63</v>
      </c>
      <c r="K28">
        <v>245</v>
      </c>
      <c r="L28">
        <v>6</v>
      </c>
      <c r="M28">
        <v>247</v>
      </c>
      <c r="N28">
        <v>2</v>
      </c>
      <c r="O28" t="s">
        <v>26</v>
      </c>
      <c r="P28" t="s">
        <v>31</v>
      </c>
      <c r="R28">
        <v>8</v>
      </c>
      <c r="S28">
        <v>9</v>
      </c>
      <c r="T28" t="s">
        <v>99</v>
      </c>
      <c r="U28" t="s">
        <v>99</v>
      </c>
      <c r="V28">
        <v>141</v>
      </c>
      <c r="W28">
        <v>1900</v>
      </c>
      <c r="X28" t="s">
        <v>192</v>
      </c>
    </row>
    <row r="29" spans="1:24" x14ac:dyDescent="0.3">
      <c r="A29">
        <v>28</v>
      </c>
      <c r="B29" t="str">
        <f t="shared" si="0"/>
        <v>April 13,2025</v>
      </c>
      <c r="C29" t="str">
        <f t="shared" si="1"/>
        <v>April 13,2025</v>
      </c>
      <c r="D29" t="s">
        <v>101</v>
      </c>
      <c r="E29" t="s">
        <v>102</v>
      </c>
      <c r="F29" t="s">
        <v>32</v>
      </c>
      <c r="G29" t="s">
        <v>23</v>
      </c>
      <c r="H29" t="s">
        <v>24</v>
      </c>
      <c r="I29" t="s">
        <v>23</v>
      </c>
      <c r="J29" t="s">
        <v>25</v>
      </c>
      <c r="K29">
        <v>173</v>
      </c>
      <c r="L29">
        <v>4</v>
      </c>
      <c r="M29">
        <v>175</v>
      </c>
      <c r="N29">
        <v>1</v>
      </c>
      <c r="O29" t="s">
        <v>26</v>
      </c>
      <c r="P29" t="s">
        <v>23</v>
      </c>
      <c r="R29">
        <v>9</v>
      </c>
      <c r="S29">
        <v>15</v>
      </c>
      <c r="T29" t="s">
        <v>103</v>
      </c>
      <c r="U29" t="s">
        <v>87</v>
      </c>
      <c r="V29">
        <v>75</v>
      </c>
      <c r="W29">
        <v>1900</v>
      </c>
      <c r="X29" t="s">
        <v>192</v>
      </c>
    </row>
    <row r="30" spans="1:24" x14ac:dyDescent="0.3">
      <c r="A30">
        <v>29</v>
      </c>
      <c r="B30" t="str">
        <f t="shared" si="0"/>
        <v>April 13,2025</v>
      </c>
      <c r="C30" t="str">
        <f t="shared" si="1"/>
        <v>April 13,2025</v>
      </c>
      <c r="D30" t="s">
        <v>101</v>
      </c>
      <c r="E30" t="s">
        <v>104</v>
      </c>
      <c r="F30" t="s">
        <v>41</v>
      </c>
      <c r="G30" t="s">
        <v>36</v>
      </c>
      <c r="H30" t="s">
        <v>24</v>
      </c>
      <c r="I30" t="s">
        <v>41</v>
      </c>
      <c r="J30" t="s">
        <v>25</v>
      </c>
      <c r="K30">
        <v>205</v>
      </c>
      <c r="L30">
        <v>5</v>
      </c>
      <c r="M30">
        <v>193</v>
      </c>
      <c r="N30">
        <v>10</v>
      </c>
      <c r="O30" t="s">
        <v>26</v>
      </c>
      <c r="P30" t="s">
        <v>41</v>
      </c>
      <c r="Q30">
        <v>12</v>
      </c>
      <c r="S30">
        <v>6</v>
      </c>
      <c r="T30" t="s">
        <v>105</v>
      </c>
      <c r="U30" t="s">
        <v>106</v>
      </c>
      <c r="V30">
        <v>89</v>
      </c>
      <c r="W30">
        <v>1900</v>
      </c>
      <c r="X30" t="s">
        <v>192</v>
      </c>
    </row>
    <row r="31" spans="1:24" x14ac:dyDescent="0.3">
      <c r="A31">
        <v>30</v>
      </c>
      <c r="B31" t="str">
        <f t="shared" si="0"/>
        <v>April 14,2025</v>
      </c>
      <c r="C31" t="str">
        <f t="shared" si="1"/>
        <v>April 14,2025</v>
      </c>
      <c r="D31" t="s">
        <v>107</v>
      </c>
      <c r="E31" t="s">
        <v>71</v>
      </c>
      <c r="F31" t="s">
        <v>42</v>
      </c>
      <c r="G31" t="s">
        <v>35</v>
      </c>
      <c r="H31" t="s">
        <v>24</v>
      </c>
      <c r="I31" t="s">
        <v>35</v>
      </c>
      <c r="J31" t="s">
        <v>25</v>
      </c>
      <c r="K31">
        <v>166</v>
      </c>
      <c r="L31">
        <v>7</v>
      </c>
      <c r="M31">
        <v>168</v>
      </c>
      <c r="N31">
        <v>5</v>
      </c>
      <c r="O31" t="s">
        <v>26</v>
      </c>
      <c r="P31" t="s">
        <v>35</v>
      </c>
      <c r="R31">
        <v>5</v>
      </c>
      <c r="S31">
        <v>3</v>
      </c>
      <c r="T31" t="s">
        <v>108</v>
      </c>
      <c r="U31" t="s">
        <v>109</v>
      </c>
      <c r="V31">
        <v>63</v>
      </c>
      <c r="W31">
        <v>1900</v>
      </c>
      <c r="X31" t="s">
        <v>192</v>
      </c>
    </row>
    <row r="32" spans="1:24" x14ac:dyDescent="0.3">
      <c r="A32">
        <v>31</v>
      </c>
      <c r="B32" t="str">
        <f t="shared" si="0"/>
        <v>April 15,2025</v>
      </c>
      <c r="C32" t="str">
        <f t="shared" si="1"/>
        <v>April 15,2025</v>
      </c>
      <c r="D32" t="s">
        <v>110</v>
      </c>
      <c r="E32" t="s">
        <v>85</v>
      </c>
      <c r="F32" t="s">
        <v>49</v>
      </c>
      <c r="G32" t="s">
        <v>22</v>
      </c>
      <c r="H32" t="s">
        <v>24</v>
      </c>
      <c r="I32" t="s">
        <v>49</v>
      </c>
      <c r="J32" t="s">
        <v>63</v>
      </c>
      <c r="K32">
        <v>111</v>
      </c>
      <c r="L32">
        <v>10</v>
      </c>
      <c r="M32">
        <v>95</v>
      </c>
      <c r="N32">
        <v>10</v>
      </c>
      <c r="O32" t="s">
        <v>26</v>
      </c>
      <c r="P32" t="s">
        <v>49</v>
      </c>
      <c r="Q32">
        <v>16</v>
      </c>
      <c r="S32">
        <v>29</v>
      </c>
      <c r="T32" t="s">
        <v>111</v>
      </c>
      <c r="U32" t="s">
        <v>112</v>
      </c>
      <c r="V32">
        <v>37</v>
      </c>
      <c r="W32">
        <v>1900</v>
      </c>
      <c r="X32" t="s">
        <v>192</v>
      </c>
    </row>
    <row r="33" spans="1:24" x14ac:dyDescent="0.3">
      <c r="A33">
        <v>32</v>
      </c>
      <c r="B33" t="str">
        <f t="shared" si="0"/>
        <v>April 16,2025</v>
      </c>
      <c r="C33" t="str">
        <f t="shared" si="1"/>
        <v>April 16,2025</v>
      </c>
      <c r="D33" t="s">
        <v>113</v>
      </c>
      <c r="E33" t="s">
        <v>104</v>
      </c>
      <c r="F33" t="s">
        <v>41</v>
      </c>
      <c r="G33" t="s">
        <v>32</v>
      </c>
      <c r="H33" t="s">
        <v>24</v>
      </c>
      <c r="I33" t="s">
        <v>32</v>
      </c>
      <c r="J33" t="s">
        <v>25</v>
      </c>
      <c r="K33">
        <v>188</v>
      </c>
      <c r="L33">
        <v>5</v>
      </c>
      <c r="M33">
        <v>188</v>
      </c>
      <c r="N33">
        <v>4</v>
      </c>
      <c r="O33" t="s">
        <v>26</v>
      </c>
      <c r="P33" t="s">
        <v>41</v>
      </c>
      <c r="Q33" t="s">
        <v>114</v>
      </c>
      <c r="R33" t="s">
        <v>114</v>
      </c>
      <c r="S33">
        <v>0</v>
      </c>
      <c r="T33" t="s">
        <v>45</v>
      </c>
      <c r="U33" t="s">
        <v>65</v>
      </c>
      <c r="V33">
        <v>51</v>
      </c>
      <c r="W33">
        <v>1900</v>
      </c>
      <c r="X33" t="s">
        <v>192</v>
      </c>
    </row>
    <row r="34" spans="1:24" x14ac:dyDescent="0.3">
      <c r="A34">
        <v>33</v>
      </c>
      <c r="B34" t="str">
        <f t="shared" si="0"/>
        <v>April 17,2025</v>
      </c>
      <c r="C34" t="str">
        <f t="shared" si="1"/>
        <v>April 17,2025</v>
      </c>
      <c r="D34" t="s">
        <v>115</v>
      </c>
      <c r="E34" t="s">
        <v>67</v>
      </c>
      <c r="F34" t="s">
        <v>36</v>
      </c>
      <c r="G34" t="s">
        <v>31</v>
      </c>
      <c r="H34" t="s">
        <v>24</v>
      </c>
      <c r="I34" t="s">
        <v>36</v>
      </c>
      <c r="J34" t="s">
        <v>25</v>
      </c>
      <c r="K34">
        <v>162</v>
      </c>
      <c r="L34">
        <v>5</v>
      </c>
      <c r="M34">
        <v>166</v>
      </c>
      <c r="N34">
        <v>6</v>
      </c>
      <c r="O34" t="s">
        <v>26</v>
      </c>
      <c r="P34" t="s">
        <v>36</v>
      </c>
      <c r="R34">
        <v>4</v>
      </c>
      <c r="S34">
        <v>11</v>
      </c>
      <c r="T34" t="s">
        <v>116</v>
      </c>
      <c r="U34" t="s">
        <v>99</v>
      </c>
      <c r="V34">
        <v>40</v>
      </c>
      <c r="W34">
        <v>1900</v>
      </c>
      <c r="X34" t="s">
        <v>193</v>
      </c>
    </row>
    <row r="35" spans="1:24" x14ac:dyDescent="0.3">
      <c r="A35">
        <v>34</v>
      </c>
      <c r="B35" t="str">
        <f t="shared" si="0"/>
        <v>April 18,2025</v>
      </c>
      <c r="C35" t="str">
        <f t="shared" si="1"/>
        <v>April 18,2025</v>
      </c>
      <c r="D35" t="s">
        <v>117</v>
      </c>
      <c r="E35" t="s">
        <v>74</v>
      </c>
      <c r="F35" t="s">
        <v>23</v>
      </c>
      <c r="G35" t="s">
        <v>49</v>
      </c>
      <c r="H35" t="s">
        <v>24</v>
      </c>
      <c r="I35" t="s">
        <v>49</v>
      </c>
      <c r="J35" t="s">
        <v>25</v>
      </c>
      <c r="K35">
        <v>95</v>
      </c>
      <c r="L35">
        <v>9</v>
      </c>
      <c r="M35">
        <v>98</v>
      </c>
      <c r="N35">
        <v>5</v>
      </c>
      <c r="O35" t="s">
        <v>26</v>
      </c>
      <c r="P35" t="s">
        <v>49</v>
      </c>
      <c r="R35">
        <v>5</v>
      </c>
      <c r="S35">
        <v>11</v>
      </c>
      <c r="T35" t="s">
        <v>118</v>
      </c>
      <c r="U35" t="s">
        <v>118</v>
      </c>
      <c r="V35">
        <v>50</v>
      </c>
      <c r="W35">
        <v>1900</v>
      </c>
      <c r="X35" t="s">
        <v>193</v>
      </c>
    </row>
    <row r="36" spans="1:24" x14ac:dyDescent="0.3">
      <c r="A36">
        <v>35</v>
      </c>
      <c r="B36" t="str">
        <f t="shared" si="0"/>
        <v>April 19,2025</v>
      </c>
      <c r="C36" t="str">
        <f t="shared" si="1"/>
        <v>April 19,2025</v>
      </c>
      <c r="D36" t="s">
        <v>119</v>
      </c>
      <c r="E36" t="s">
        <v>47</v>
      </c>
      <c r="F36" t="s">
        <v>48</v>
      </c>
      <c r="G36" t="s">
        <v>41</v>
      </c>
      <c r="H36" t="s">
        <v>24</v>
      </c>
      <c r="I36" t="s">
        <v>48</v>
      </c>
      <c r="J36" t="s">
        <v>25</v>
      </c>
      <c r="K36">
        <v>203</v>
      </c>
      <c r="L36">
        <v>8</v>
      </c>
      <c r="M36">
        <v>204</v>
      </c>
      <c r="N36">
        <v>3</v>
      </c>
      <c r="O36" t="s">
        <v>26</v>
      </c>
      <c r="P36" t="s">
        <v>48</v>
      </c>
      <c r="R36">
        <v>7</v>
      </c>
      <c r="S36">
        <v>4</v>
      </c>
      <c r="T36" t="s">
        <v>76</v>
      </c>
      <c r="U36" t="s">
        <v>76</v>
      </c>
      <c r="V36">
        <v>97</v>
      </c>
      <c r="W36">
        <v>1900</v>
      </c>
      <c r="X36" t="s">
        <v>193</v>
      </c>
    </row>
    <row r="37" spans="1:24" x14ac:dyDescent="0.3">
      <c r="A37">
        <v>36</v>
      </c>
      <c r="B37" t="str">
        <f t="shared" si="0"/>
        <v>April 19,2025</v>
      </c>
      <c r="C37" t="str">
        <f t="shared" si="1"/>
        <v>April 19,2025</v>
      </c>
      <c r="D37" t="s">
        <v>119</v>
      </c>
      <c r="E37" t="s">
        <v>102</v>
      </c>
      <c r="F37" t="s">
        <v>32</v>
      </c>
      <c r="G37" t="s">
        <v>42</v>
      </c>
      <c r="H37" t="s">
        <v>24</v>
      </c>
      <c r="I37" t="s">
        <v>42</v>
      </c>
      <c r="J37" t="s">
        <v>63</v>
      </c>
      <c r="K37">
        <v>180</v>
      </c>
      <c r="L37">
        <v>5</v>
      </c>
      <c r="M37">
        <v>178</v>
      </c>
      <c r="N37">
        <v>5</v>
      </c>
      <c r="O37" t="s">
        <v>26</v>
      </c>
      <c r="P37" t="s">
        <v>42</v>
      </c>
      <c r="Q37">
        <v>2</v>
      </c>
      <c r="S37">
        <v>0</v>
      </c>
      <c r="T37" t="s">
        <v>120</v>
      </c>
      <c r="U37" t="s">
        <v>87</v>
      </c>
      <c r="V37">
        <v>74</v>
      </c>
      <c r="W37">
        <v>1900</v>
      </c>
      <c r="X37" t="s">
        <v>193</v>
      </c>
    </row>
    <row r="38" spans="1:24" x14ac:dyDescent="0.3">
      <c r="A38">
        <v>37</v>
      </c>
      <c r="B38" t="str">
        <f t="shared" si="0"/>
        <v>April 20,2025</v>
      </c>
      <c r="C38" t="str">
        <f t="shared" si="1"/>
        <v>April 20,2025</v>
      </c>
      <c r="D38" t="s">
        <v>121</v>
      </c>
      <c r="E38" t="s">
        <v>85</v>
      </c>
      <c r="F38" t="s">
        <v>49</v>
      </c>
      <c r="G38" t="s">
        <v>23</v>
      </c>
      <c r="H38" t="s">
        <v>24</v>
      </c>
      <c r="I38" t="s">
        <v>23</v>
      </c>
      <c r="J38" t="s">
        <v>25</v>
      </c>
      <c r="K38">
        <v>157</v>
      </c>
      <c r="L38">
        <v>6</v>
      </c>
      <c r="M38">
        <v>159</v>
      </c>
      <c r="N38">
        <v>3</v>
      </c>
      <c r="O38" t="s">
        <v>26</v>
      </c>
      <c r="P38" t="s">
        <v>49</v>
      </c>
      <c r="R38">
        <v>7</v>
      </c>
      <c r="S38">
        <v>7</v>
      </c>
      <c r="T38" t="s">
        <v>28</v>
      </c>
      <c r="U38" t="s">
        <v>28</v>
      </c>
      <c r="V38">
        <v>73</v>
      </c>
      <c r="W38">
        <v>1900</v>
      </c>
      <c r="X38" t="s">
        <v>193</v>
      </c>
    </row>
    <row r="39" spans="1:24" x14ac:dyDescent="0.3">
      <c r="A39">
        <v>38</v>
      </c>
      <c r="B39" t="str">
        <f t="shared" si="0"/>
        <v>April 20,2025</v>
      </c>
      <c r="C39" t="str">
        <f t="shared" si="1"/>
        <v>April 20,2025</v>
      </c>
      <c r="D39" t="s">
        <v>121</v>
      </c>
      <c r="E39" t="s">
        <v>67</v>
      </c>
      <c r="F39" t="s">
        <v>36</v>
      </c>
      <c r="G39" t="s">
        <v>35</v>
      </c>
      <c r="H39" t="s">
        <v>24</v>
      </c>
      <c r="I39" t="s">
        <v>36</v>
      </c>
      <c r="J39" t="s">
        <v>25</v>
      </c>
      <c r="K39">
        <v>176</v>
      </c>
      <c r="L39">
        <v>5</v>
      </c>
      <c r="M39">
        <v>177</v>
      </c>
      <c r="N39">
        <v>1</v>
      </c>
      <c r="O39" t="s">
        <v>26</v>
      </c>
      <c r="P39" t="s">
        <v>36</v>
      </c>
      <c r="R39">
        <v>9</v>
      </c>
      <c r="S39">
        <v>26</v>
      </c>
      <c r="T39" t="s">
        <v>122</v>
      </c>
      <c r="U39" t="s">
        <v>122</v>
      </c>
      <c r="V39">
        <v>76</v>
      </c>
      <c r="W39">
        <v>1900</v>
      </c>
      <c r="X39" t="s">
        <v>193</v>
      </c>
    </row>
    <row r="40" spans="1:24" x14ac:dyDescent="0.3">
      <c r="A40">
        <v>39</v>
      </c>
      <c r="B40" t="str">
        <f t="shared" si="0"/>
        <v>April 21,2025</v>
      </c>
      <c r="C40" t="str">
        <f t="shared" si="1"/>
        <v>April 21,2025</v>
      </c>
      <c r="D40" t="s">
        <v>123</v>
      </c>
      <c r="E40" t="s">
        <v>21</v>
      </c>
      <c r="F40" t="s">
        <v>22</v>
      </c>
      <c r="G40" t="s">
        <v>48</v>
      </c>
      <c r="H40" t="s">
        <v>24</v>
      </c>
      <c r="I40" t="s">
        <v>22</v>
      </c>
      <c r="J40" t="s">
        <v>25</v>
      </c>
      <c r="K40">
        <v>198</v>
      </c>
      <c r="L40">
        <v>3</v>
      </c>
      <c r="M40">
        <v>159</v>
      </c>
      <c r="N40">
        <v>8</v>
      </c>
      <c r="O40" t="s">
        <v>26</v>
      </c>
      <c r="P40" t="s">
        <v>48</v>
      </c>
      <c r="Q40">
        <v>39</v>
      </c>
      <c r="S40">
        <v>0</v>
      </c>
      <c r="T40" t="s">
        <v>89</v>
      </c>
      <c r="U40" t="s">
        <v>89</v>
      </c>
      <c r="V40">
        <v>90</v>
      </c>
      <c r="W40">
        <v>1900</v>
      </c>
      <c r="X40" t="s">
        <v>193</v>
      </c>
    </row>
    <row r="41" spans="1:24" x14ac:dyDescent="0.3">
      <c r="A41">
        <v>40</v>
      </c>
      <c r="B41" t="str">
        <f t="shared" si="0"/>
        <v>April 22,2025</v>
      </c>
      <c r="C41" t="str">
        <f t="shared" si="1"/>
        <v>April 22,2025</v>
      </c>
      <c r="D41" t="s">
        <v>124</v>
      </c>
      <c r="E41" t="s">
        <v>71</v>
      </c>
      <c r="F41" t="s">
        <v>42</v>
      </c>
      <c r="G41" t="s">
        <v>41</v>
      </c>
      <c r="H41" t="s">
        <v>24</v>
      </c>
      <c r="I41" t="s">
        <v>41</v>
      </c>
      <c r="J41" t="s">
        <v>25</v>
      </c>
      <c r="K41">
        <v>159</v>
      </c>
      <c r="L41">
        <v>6</v>
      </c>
      <c r="M41">
        <v>161</v>
      </c>
      <c r="N41">
        <v>2</v>
      </c>
      <c r="O41" t="s">
        <v>26</v>
      </c>
      <c r="P41" t="s">
        <v>41</v>
      </c>
      <c r="R41">
        <v>8</v>
      </c>
      <c r="S41">
        <v>13</v>
      </c>
      <c r="T41" t="s">
        <v>125</v>
      </c>
      <c r="U41" t="s">
        <v>84</v>
      </c>
      <c r="V41">
        <v>57</v>
      </c>
      <c r="W41">
        <v>1900</v>
      </c>
      <c r="X41" t="s">
        <v>193</v>
      </c>
    </row>
    <row r="42" spans="1:24" x14ac:dyDescent="0.3">
      <c r="A42">
        <v>41</v>
      </c>
      <c r="B42" t="str">
        <f t="shared" si="0"/>
        <v>April 23,2025</v>
      </c>
      <c r="C42" t="str">
        <f t="shared" si="1"/>
        <v>April 23,2025</v>
      </c>
      <c r="D42" t="s">
        <v>126</v>
      </c>
      <c r="E42" t="s">
        <v>30</v>
      </c>
      <c r="F42" t="s">
        <v>31</v>
      </c>
      <c r="G42" t="s">
        <v>36</v>
      </c>
      <c r="H42" t="s">
        <v>24</v>
      </c>
      <c r="I42" t="s">
        <v>31</v>
      </c>
      <c r="J42" t="s">
        <v>25</v>
      </c>
      <c r="K42">
        <v>143</v>
      </c>
      <c r="L42">
        <v>8</v>
      </c>
      <c r="M42">
        <v>146</v>
      </c>
      <c r="N42">
        <v>3</v>
      </c>
      <c r="O42" t="s">
        <v>26</v>
      </c>
      <c r="P42" t="s">
        <v>36</v>
      </c>
      <c r="R42">
        <v>7</v>
      </c>
      <c r="S42">
        <v>26</v>
      </c>
      <c r="T42" t="s">
        <v>127</v>
      </c>
      <c r="U42" t="s">
        <v>128</v>
      </c>
      <c r="V42">
        <v>71</v>
      </c>
      <c r="W42">
        <v>1900</v>
      </c>
      <c r="X42" t="s">
        <v>193</v>
      </c>
    </row>
    <row r="43" spans="1:24" x14ac:dyDescent="0.3">
      <c r="A43">
        <v>42</v>
      </c>
      <c r="B43" t="str">
        <f t="shared" si="0"/>
        <v>April 24,2025</v>
      </c>
      <c r="C43" t="str">
        <f t="shared" si="1"/>
        <v>April 24,2025</v>
      </c>
      <c r="D43" t="s">
        <v>129</v>
      </c>
      <c r="E43" t="s">
        <v>74</v>
      </c>
      <c r="F43" t="s">
        <v>23</v>
      </c>
      <c r="G43" t="s">
        <v>32</v>
      </c>
      <c r="H43" t="s">
        <v>24</v>
      </c>
      <c r="I43" t="s">
        <v>32</v>
      </c>
      <c r="J43" t="s">
        <v>25</v>
      </c>
      <c r="K43">
        <v>205</v>
      </c>
      <c r="L43">
        <v>5</v>
      </c>
      <c r="M43">
        <v>194</v>
      </c>
      <c r="N43">
        <v>9</v>
      </c>
      <c r="O43" t="s">
        <v>26</v>
      </c>
      <c r="P43" t="s">
        <v>23</v>
      </c>
      <c r="Q43">
        <v>11</v>
      </c>
      <c r="S43">
        <v>0</v>
      </c>
      <c r="T43" t="s">
        <v>58</v>
      </c>
      <c r="U43" t="s">
        <v>28</v>
      </c>
      <c r="V43">
        <v>70</v>
      </c>
      <c r="W43">
        <v>1900</v>
      </c>
      <c r="X43" t="s">
        <v>193</v>
      </c>
    </row>
    <row r="44" spans="1:24" x14ac:dyDescent="0.3">
      <c r="A44">
        <v>43</v>
      </c>
      <c r="B44" t="str">
        <f t="shared" si="0"/>
        <v>April 25,2025</v>
      </c>
      <c r="C44" t="str">
        <f t="shared" si="1"/>
        <v>April 25,2025</v>
      </c>
      <c r="D44" t="s">
        <v>130</v>
      </c>
      <c r="E44" t="s">
        <v>34</v>
      </c>
      <c r="F44" t="s">
        <v>35</v>
      </c>
      <c r="G44" t="s">
        <v>31</v>
      </c>
      <c r="H44" t="s">
        <v>24</v>
      </c>
      <c r="I44" t="s">
        <v>31</v>
      </c>
      <c r="J44" t="s">
        <v>25</v>
      </c>
      <c r="K44">
        <v>154</v>
      </c>
      <c r="L44">
        <v>10</v>
      </c>
      <c r="M44">
        <v>155</v>
      </c>
      <c r="N44">
        <v>5</v>
      </c>
      <c r="O44" t="s">
        <v>26</v>
      </c>
      <c r="P44" t="s">
        <v>31</v>
      </c>
      <c r="R44">
        <v>5</v>
      </c>
      <c r="S44">
        <v>8</v>
      </c>
      <c r="T44" t="s">
        <v>100</v>
      </c>
      <c r="U44" t="s">
        <v>33</v>
      </c>
      <c r="V44">
        <v>44</v>
      </c>
      <c r="W44">
        <v>1900</v>
      </c>
      <c r="X44" t="s">
        <v>193</v>
      </c>
    </row>
    <row r="45" spans="1:24" x14ac:dyDescent="0.3">
      <c r="A45">
        <v>44</v>
      </c>
      <c r="B45" t="str">
        <f t="shared" si="0"/>
        <v>April 26,2025</v>
      </c>
      <c r="C45" t="str">
        <f t="shared" si="1"/>
        <v>April 26,2025</v>
      </c>
      <c r="D45" t="s">
        <v>131</v>
      </c>
      <c r="E45" t="s">
        <v>21</v>
      </c>
      <c r="F45" t="s">
        <v>22</v>
      </c>
      <c r="G45" t="s">
        <v>49</v>
      </c>
      <c r="H45" t="s">
        <v>24</v>
      </c>
      <c r="I45" t="s">
        <v>49</v>
      </c>
      <c r="J45" t="s">
        <v>63</v>
      </c>
      <c r="K45">
        <v>201</v>
      </c>
      <c r="L45">
        <v>4</v>
      </c>
      <c r="M45">
        <v>7</v>
      </c>
      <c r="N45">
        <v>0</v>
      </c>
      <c r="O45" t="s">
        <v>132</v>
      </c>
      <c r="S45">
        <v>114</v>
      </c>
      <c r="W45">
        <v>1900</v>
      </c>
      <c r="X45" t="s">
        <v>193</v>
      </c>
    </row>
    <row r="46" spans="1:24" x14ac:dyDescent="0.3">
      <c r="A46">
        <v>45</v>
      </c>
      <c r="B46" t="str">
        <f t="shared" si="0"/>
        <v>April 27,2025</v>
      </c>
      <c r="C46" t="str">
        <f t="shared" si="1"/>
        <v>April 27,2025</v>
      </c>
      <c r="D46" t="s">
        <v>133</v>
      </c>
      <c r="E46" t="s">
        <v>67</v>
      </c>
      <c r="F46" t="s">
        <v>36</v>
      </c>
      <c r="G46" t="s">
        <v>42</v>
      </c>
      <c r="H46" t="s">
        <v>24</v>
      </c>
      <c r="I46" t="s">
        <v>42</v>
      </c>
      <c r="J46" t="s">
        <v>25</v>
      </c>
      <c r="K46">
        <v>215</v>
      </c>
      <c r="L46">
        <v>7</v>
      </c>
      <c r="M46">
        <v>161</v>
      </c>
      <c r="N46">
        <v>10</v>
      </c>
      <c r="O46" t="s">
        <v>26</v>
      </c>
      <c r="P46" t="s">
        <v>36</v>
      </c>
      <c r="Q46">
        <v>54</v>
      </c>
      <c r="S46">
        <v>0</v>
      </c>
      <c r="T46" t="s">
        <v>116</v>
      </c>
      <c r="U46" t="s">
        <v>69</v>
      </c>
      <c r="V46">
        <v>58</v>
      </c>
      <c r="W46">
        <v>1900</v>
      </c>
      <c r="X46" t="s">
        <v>193</v>
      </c>
    </row>
    <row r="47" spans="1:24" x14ac:dyDescent="0.3">
      <c r="A47">
        <v>46</v>
      </c>
      <c r="B47" t="str">
        <f t="shared" si="0"/>
        <v>April 27,2025</v>
      </c>
      <c r="C47" t="str">
        <f t="shared" si="1"/>
        <v>April 27,2025</v>
      </c>
      <c r="D47" t="s">
        <v>133</v>
      </c>
      <c r="E47" t="s">
        <v>104</v>
      </c>
      <c r="F47" t="s">
        <v>41</v>
      </c>
      <c r="G47" t="s">
        <v>23</v>
      </c>
      <c r="H47" t="s">
        <v>24</v>
      </c>
      <c r="I47" t="s">
        <v>23</v>
      </c>
      <c r="J47" t="s">
        <v>25</v>
      </c>
      <c r="K47">
        <v>162</v>
      </c>
      <c r="L47">
        <v>8</v>
      </c>
      <c r="M47">
        <v>165</v>
      </c>
      <c r="N47">
        <v>4</v>
      </c>
      <c r="O47" t="s">
        <v>26</v>
      </c>
      <c r="P47" t="s">
        <v>23</v>
      </c>
      <c r="R47">
        <v>6</v>
      </c>
      <c r="S47">
        <v>9</v>
      </c>
      <c r="T47" t="s">
        <v>27</v>
      </c>
      <c r="U47" t="s">
        <v>27</v>
      </c>
      <c r="V47">
        <v>73</v>
      </c>
      <c r="W47">
        <v>1900</v>
      </c>
      <c r="X47" t="s">
        <v>193</v>
      </c>
    </row>
    <row r="48" spans="1:24" x14ac:dyDescent="0.3">
      <c r="A48">
        <v>47</v>
      </c>
      <c r="B48" t="str">
        <f t="shared" si="0"/>
        <v>April 28,2025</v>
      </c>
      <c r="C48" t="str">
        <f t="shared" si="1"/>
        <v>April 28,2025</v>
      </c>
      <c r="D48" t="s">
        <v>134</v>
      </c>
      <c r="E48" t="s">
        <v>102</v>
      </c>
      <c r="F48" t="s">
        <v>32</v>
      </c>
      <c r="G48" t="s">
        <v>48</v>
      </c>
      <c r="H48" t="s">
        <v>24</v>
      </c>
      <c r="I48" t="s">
        <v>32</v>
      </c>
      <c r="J48" t="s">
        <v>25</v>
      </c>
      <c r="K48">
        <v>209</v>
      </c>
      <c r="L48">
        <v>4</v>
      </c>
      <c r="M48">
        <v>212</v>
      </c>
      <c r="N48">
        <v>2</v>
      </c>
      <c r="O48" t="s">
        <v>26</v>
      </c>
      <c r="P48" t="s">
        <v>32</v>
      </c>
      <c r="R48">
        <v>8</v>
      </c>
      <c r="S48">
        <v>25</v>
      </c>
      <c r="T48" t="s">
        <v>135</v>
      </c>
      <c r="U48" t="s">
        <v>135</v>
      </c>
      <c r="V48">
        <v>101</v>
      </c>
      <c r="W48">
        <v>1900</v>
      </c>
      <c r="X48" t="s">
        <v>193</v>
      </c>
    </row>
    <row r="49" spans="1:24" x14ac:dyDescent="0.3">
      <c r="A49">
        <v>48</v>
      </c>
      <c r="B49" t="str">
        <f t="shared" si="0"/>
        <v>April 29,2025</v>
      </c>
      <c r="C49" t="str">
        <f t="shared" si="1"/>
        <v>April 29,2025</v>
      </c>
      <c r="D49" t="s">
        <v>136</v>
      </c>
      <c r="E49" t="s">
        <v>104</v>
      </c>
      <c r="F49" t="s">
        <v>41</v>
      </c>
      <c r="G49" t="s">
        <v>22</v>
      </c>
      <c r="H49" t="s">
        <v>24</v>
      </c>
      <c r="I49" t="s">
        <v>41</v>
      </c>
      <c r="J49" t="s">
        <v>25</v>
      </c>
      <c r="K49">
        <v>204</v>
      </c>
      <c r="L49">
        <v>9</v>
      </c>
      <c r="M49">
        <v>190</v>
      </c>
      <c r="N49">
        <v>9</v>
      </c>
      <c r="O49" t="s">
        <v>26</v>
      </c>
      <c r="P49" t="s">
        <v>22</v>
      </c>
      <c r="Q49">
        <v>14</v>
      </c>
      <c r="S49">
        <v>0</v>
      </c>
      <c r="T49" t="s">
        <v>96</v>
      </c>
      <c r="U49" t="s">
        <v>137</v>
      </c>
      <c r="V49">
        <v>62</v>
      </c>
      <c r="W49">
        <v>1900</v>
      </c>
      <c r="X49" t="s">
        <v>193</v>
      </c>
    </row>
    <row r="50" spans="1:24" x14ac:dyDescent="0.3">
      <c r="A50">
        <v>49</v>
      </c>
      <c r="B50" t="str">
        <f t="shared" si="0"/>
        <v>April 30,2025</v>
      </c>
      <c r="C50" t="str">
        <f t="shared" si="1"/>
        <v>April 30,2025</v>
      </c>
      <c r="D50" t="s">
        <v>138</v>
      </c>
      <c r="E50" t="s">
        <v>34</v>
      </c>
      <c r="F50" t="s">
        <v>35</v>
      </c>
      <c r="G50" t="s">
        <v>49</v>
      </c>
      <c r="H50" t="s">
        <v>24</v>
      </c>
      <c r="I50" t="s">
        <v>49</v>
      </c>
      <c r="J50" t="s">
        <v>25</v>
      </c>
      <c r="K50">
        <v>190</v>
      </c>
      <c r="L50">
        <v>10</v>
      </c>
      <c r="M50">
        <v>194</v>
      </c>
      <c r="N50">
        <v>6</v>
      </c>
      <c r="O50" t="s">
        <v>26</v>
      </c>
      <c r="P50" t="s">
        <v>49</v>
      </c>
      <c r="R50">
        <v>4</v>
      </c>
      <c r="S50">
        <v>2</v>
      </c>
      <c r="T50" t="s">
        <v>50</v>
      </c>
      <c r="U50" t="s">
        <v>139</v>
      </c>
      <c r="V50">
        <v>88</v>
      </c>
      <c r="W50">
        <v>1900</v>
      </c>
      <c r="X50" t="s">
        <v>193</v>
      </c>
    </row>
    <row r="51" spans="1:24" x14ac:dyDescent="0.3">
      <c r="A51">
        <v>50</v>
      </c>
      <c r="B51" t="str">
        <f t="shared" si="0"/>
        <v>May 1,2025</v>
      </c>
      <c r="C51" t="str">
        <f t="shared" si="1"/>
        <v>May 1,2025</v>
      </c>
      <c r="D51" t="s">
        <v>140</v>
      </c>
      <c r="E51" t="s">
        <v>102</v>
      </c>
      <c r="F51" t="s">
        <v>32</v>
      </c>
      <c r="G51" t="s">
        <v>36</v>
      </c>
      <c r="H51" t="s">
        <v>24</v>
      </c>
      <c r="I51" t="s">
        <v>32</v>
      </c>
      <c r="J51" t="s">
        <v>25</v>
      </c>
      <c r="K51">
        <v>217</v>
      </c>
      <c r="L51">
        <v>2</v>
      </c>
      <c r="M51">
        <v>117</v>
      </c>
      <c r="N51">
        <v>10</v>
      </c>
      <c r="O51" t="s">
        <v>26</v>
      </c>
      <c r="P51" t="s">
        <v>36</v>
      </c>
      <c r="Q51">
        <v>100</v>
      </c>
      <c r="S51">
        <v>23</v>
      </c>
      <c r="T51" t="s">
        <v>69</v>
      </c>
      <c r="U51" t="s">
        <v>69</v>
      </c>
      <c r="V51">
        <v>61</v>
      </c>
      <c r="W51">
        <v>1900</v>
      </c>
      <c r="X51" t="s">
        <v>193</v>
      </c>
    </row>
    <row r="52" spans="1:24" x14ac:dyDescent="0.3">
      <c r="A52">
        <v>51</v>
      </c>
      <c r="B52" t="str">
        <f t="shared" si="0"/>
        <v>May 2,2025</v>
      </c>
      <c r="C52" t="str">
        <f t="shared" si="1"/>
        <v>May 2,2025</v>
      </c>
      <c r="D52" t="s">
        <v>141</v>
      </c>
      <c r="E52" t="s">
        <v>47</v>
      </c>
      <c r="F52" t="s">
        <v>48</v>
      </c>
      <c r="G52" t="s">
        <v>31</v>
      </c>
      <c r="H52" t="s">
        <v>24</v>
      </c>
      <c r="I52" t="s">
        <v>31</v>
      </c>
      <c r="J52" t="s">
        <v>25</v>
      </c>
      <c r="K52">
        <v>224</v>
      </c>
      <c r="L52">
        <v>6</v>
      </c>
      <c r="M52">
        <v>186</v>
      </c>
      <c r="N52">
        <v>6</v>
      </c>
      <c r="O52" t="s">
        <v>26</v>
      </c>
      <c r="P52" t="s">
        <v>48</v>
      </c>
      <c r="Q52">
        <v>38</v>
      </c>
      <c r="S52">
        <v>0</v>
      </c>
      <c r="T52" t="s">
        <v>60</v>
      </c>
      <c r="U52" t="s">
        <v>89</v>
      </c>
      <c r="V52">
        <v>76</v>
      </c>
      <c r="W52">
        <v>1900</v>
      </c>
      <c r="X52" t="s">
        <v>193</v>
      </c>
    </row>
    <row r="53" spans="1:24" x14ac:dyDescent="0.3">
      <c r="A53">
        <v>52</v>
      </c>
      <c r="B53" t="str">
        <f t="shared" si="0"/>
        <v>May 3,2025</v>
      </c>
      <c r="C53" t="str">
        <f t="shared" si="1"/>
        <v>May 3,2025</v>
      </c>
      <c r="D53" t="s">
        <v>142</v>
      </c>
      <c r="E53" t="s">
        <v>74</v>
      </c>
      <c r="F53" t="s">
        <v>23</v>
      </c>
      <c r="G53" t="s">
        <v>35</v>
      </c>
      <c r="H53" t="s">
        <v>24</v>
      </c>
      <c r="I53" t="s">
        <v>35</v>
      </c>
      <c r="J53" t="s">
        <v>25</v>
      </c>
      <c r="K53">
        <v>213</v>
      </c>
      <c r="L53">
        <v>5</v>
      </c>
      <c r="M53">
        <v>211</v>
      </c>
      <c r="N53">
        <v>5</v>
      </c>
      <c r="O53" t="s">
        <v>26</v>
      </c>
      <c r="P53" t="s">
        <v>23</v>
      </c>
      <c r="Q53">
        <v>2</v>
      </c>
      <c r="S53">
        <v>0</v>
      </c>
      <c r="T53" t="s">
        <v>143</v>
      </c>
      <c r="U53" t="s">
        <v>144</v>
      </c>
      <c r="V53">
        <v>94</v>
      </c>
      <c r="W53">
        <v>1900</v>
      </c>
      <c r="X53" t="s">
        <v>193</v>
      </c>
    </row>
    <row r="54" spans="1:24" x14ac:dyDescent="0.3">
      <c r="A54">
        <v>53</v>
      </c>
      <c r="B54" t="str">
        <f t="shared" si="0"/>
        <v>May 4,2025</v>
      </c>
      <c r="C54" t="str">
        <f t="shared" si="1"/>
        <v>May 4,2025</v>
      </c>
      <c r="D54" t="s">
        <v>145</v>
      </c>
      <c r="E54" t="s">
        <v>21</v>
      </c>
      <c r="F54" t="s">
        <v>22</v>
      </c>
      <c r="G54" t="s">
        <v>32</v>
      </c>
      <c r="H54" t="s">
        <v>24</v>
      </c>
      <c r="I54" t="s">
        <v>22</v>
      </c>
      <c r="J54" t="s">
        <v>63</v>
      </c>
      <c r="K54">
        <v>206</v>
      </c>
      <c r="L54">
        <v>4</v>
      </c>
      <c r="M54">
        <v>205</v>
      </c>
      <c r="N54">
        <v>8</v>
      </c>
      <c r="O54" t="s">
        <v>26</v>
      </c>
      <c r="P54" t="s">
        <v>22</v>
      </c>
      <c r="Q54">
        <v>1</v>
      </c>
      <c r="S54">
        <v>0</v>
      </c>
      <c r="T54" t="s">
        <v>146</v>
      </c>
      <c r="U54" t="s">
        <v>147</v>
      </c>
      <c r="V54">
        <v>95</v>
      </c>
      <c r="W54">
        <v>1900</v>
      </c>
      <c r="X54" t="s">
        <v>193</v>
      </c>
    </row>
    <row r="55" spans="1:24" x14ac:dyDescent="0.3">
      <c r="A55">
        <v>54</v>
      </c>
      <c r="B55" t="str">
        <f t="shared" si="0"/>
        <v>May 4,2025</v>
      </c>
      <c r="C55" t="str">
        <f t="shared" si="1"/>
        <v>May 4,2025</v>
      </c>
      <c r="D55" t="s">
        <v>145</v>
      </c>
      <c r="E55" t="s">
        <v>148</v>
      </c>
      <c r="F55" t="s">
        <v>49</v>
      </c>
      <c r="G55" t="s">
        <v>42</v>
      </c>
      <c r="H55" t="s">
        <v>24</v>
      </c>
      <c r="I55" t="s">
        <v>42</v>
      </c>
      <c r="J55" t="s">
        <v>25</v>
      </c>
      <c r="K55">
        <v>236</v>
      </c>
      <c r="L55">
        <v>5</v>
      </c>
      <c r="M55">
        <v>199</v>
      </c>
      <c r="N55">
        <v>7</v>
      </c>
      <c r="O55" t="s">
        <v>26</v>
      </c>
      <c r="P55" t="s">
        <v>49</v>
      </c>
      <c r="Q55">
        <v>37</v>
      </c>
      <c r="S55">
        <v>0</v>
      </c>
      <c r="T55" t="s">
        <v>72</v>
      </c>
      <c r="U55" t="s">
        <v>72</v>
      </c>
      <c r="V55">
        <v>91</v>
      </c>
      <c r="W55">
        <v>1900</v>
      </c>
      <c r="X55" t="s">
        <v>193</v>
      </c>
    </row>
    <row r="56" spans="1:24" x14ac:dyDescent="0.3">
      <c r="A56">
        <v>55</v>
      </c>
      <c r="B56" t="str">
        <f t="shared" si="0"/>
        <v>May 5,2025</v>
      </c>
      <c r="C56" t="str">
        <f t="shared" si="1"/>
        <v>May 5,2025</v>
      </c>
      <c r="D56" t="s">
        <v>149</v>
      </c>
      <c r="E56" t="s">
        <v>30</v>
      </c>
      <c r="F56" t="s">
        <v>31</v>
      </c>
      <c r="G56" t="s">
        <v>41</v>
      </c>
      <c r="H56" t="s">
        <v>24</v>
      </c>
      <c r="I56" t="s">
        <v>31</v>
      </c>
      <c r="J56" t="s">
        <v>25</v>
      </c>
      <c r="K56">
        <v>133</v>
      </c>
      <c r="L56">
        <v>7</v>
      </c>
      <c r="O56" t="s">
        <v>132</v>
      </c>
      <c r="W56">
        <v>1900</v>
      </c>
      <c r="X56" t="s">
        <v>193</v>
      </c>
    </row>
    <row r="57" spans="1:24" x14ac:dyDescent="0.3">
      <c r="A57">
        <v>56</v>
      </c>
      <c r="B57" t="str">
        <f t="shared" si="0"/>
        <v>May 6,2025</v>
      </c>
      <c r="C57" t="str">
        <f t="shared" si="1"/>
        <v>May 6,2025</v>
      </c>
      <c r="D57" t="s">
        <v>150</v>
      </c>
      <c r="E57" t="s">
        <v>67</v>
      </c>
      <c r="F57" t="s">
        <v>36</v>
      </c>
      <c r="G57" t="s">
        <v>48</v>
      </c>
      <c r="H57" t="s">
        <v>24</v>
      </c>
      <c r="I57" t="s">
        <v>48</v>
      </c>
      <c r="J57" t="s">
        <v>25</v>
      </c>
      <c r="K57">
        <v>155</v>
      </c>
      <c r="L57">
        <v>8</v>
      </c>
      <c r="M57">
        <v>147</v>
      </c>
      <c r="N57">
        <v>7</v>
      </c>
      <c r="O57" t="s">
        <v>26</v>
      </c>
      <c r="P57" t="s">
        <v>48</v>
      </c>
      <c r="R57">
        <v>3</v>
      </c>
      <c r="S57">
        <v>0</v>
      </c>
      <c r="T57" t="s">
        <v>89</v>
      </c>
      <c r="U57" t="s">
        <v>116</v>
      </c>
      <c r="V57">
        <v>53</v>
      </c>
      <c r="W57">
        <v>1900</v>
      </c>
      <c r="X57" t="s">
        <v>193</v>
      </c>
    </row>
    <row r="58" spans="1:24" x14ac:dyDescent="0.3">
      <c r="A58">
        <v>57</v>
      </c>
      <c r="B58" t="str">
        <f t="shared" si="0"/>
        <v>May 7,2025</v>
      </c>
      <c r="C58" t="str">
        <f t="shared" si="1"/>
        <v>May 7,2025</v>
      </c>
      <c r="D58" t="s">
        <v>151</v>
      </c>
      <c r="E58" t="s">
        <v>21</v>
      </c>
      <c r="F58" t="s">
        <v>22</v>
      </c>
      <c r="G58" t="s">
        <v>35</v>
      </c>
      <c r="H58" t="s">
        <v>24</v>
      </c>
      <c r="I58" t="s">
        <v>22</v>
      </c>
      <c r="J58" t="s">
        <v>63</v>
      </c>
      <c r="K58">
        <v>179</v>
      </c>
      <c r="L58">
        <v>6</v>
      </c>
      <c r="M58">
        <v>183</v>
      </c>
      <c r="N58">
        <v>8</v>
      </c>
      <c r="O58" t="s">
        <v>26</v>
      </c>
      <c r="P58" t="s">
        <v>35</v>
      </c>
      <c r="R58">
        <v>2</v>
      </c>
      <c r="S58">
        <v>2</v>
      </c>
      <c r="T58" t="s">
        <v>37</v>
      </c>
      <c r="U58" t="s">
        <v>152</v>
      </c>
      <c r="V58">
        <v>52</v>
      </c>
      <c r="W58">
        <v>1900</v>
      </c>
      <c r="X58" t="s">
        <v>193</v>
      </c>
    </row>
    <row r="59" spans="1:24" x14ac:dyDescent="0.3">
      <c r="A59">
        <v>58</v>
      </c>
      <c r="B59" t="str">
        <f t="shared" si="0"/>
        <v>May 17,2025</v>
      </c>
      <c r="C59" t="str">
        <f t="shared" si="1"/>
        <v>May 17,2025</v>
      </c>
      <c r="D59" t="s">
        <v>153</v>
      </c>
      <c r="E59" t="s">
        <v>74</v>
      </c>
      <c r="F59" t="s">
        <v>23</v>
      </c>
      <c r="G59" t="s">
        <v>22</v>
      </c>
      <c r="H59" t="s">
        <v>24</v>
      </c>
      <c r="J59" t="s">
        <v>25</v>
      </c>
      <c r="O59" t="s">
        <v>132</v>
      </c>
      <c r="W59">
        <v>1900</v>
      </c>
      <c r="X59" t="s">
        <v>193</v>
      </c>
    </row>
    <row r="60" spans="1:24" x14ac:dyDescent="0.3">
      <c r="A60">
        <v>59</v>
      </c>
      <c r="B60" t="str">
        <f t="shared" si="0"/>
        <v>May 18,2025</v>
      </c>
      <c r="C60" t="str">
        <f t="shared" si="1"/>
        <v>May 18,2025</v>
      </c>
      <c r="D60" t="s">
        <v>154</v>
      </c>
      <c r="E60" t="s">
        <v>102</v>
      </c>
      <c r="F60" t="s">
        <v>32</v>
      </c>
      <c r="G60" t="s">
        <v>49</v>
      </c>
      <c r="H60" t="s">
        <v>24</v>
      </c>
      <c r="I60" t="s">
        <v>49</v>
      </c>
      <c r="J60" t="s">
        <v>63</v>
      </c>
      <c r="K60">
        <v>219</v>
      </c>
      <c r="L60">
        <v>5</v>
      </c>
      <c r="M60">
        <v>209</v>
      </c>
      <c r="N60">
        <v>7</v>
      </c>
      <c r="O60" t="s">
        <v>26</v>
      </c>
      <c r="P60" t="s">
        <v>49</v>
      </c>
      <c r="Q60">
        <v>10</v>
      </c>
      <c r="S60">
        <v>0</v>
      </c>
      <c r="T60" t="s">
        <v>155</v>
      </c>
      <c r="U60" t="s">
        <v>156</v>
      </c>
      <c r="V60">
        <v>70</v>
      </c>
      <c r="W60">
        <v>1900</v>
      </c>
      <c r="X60" t="s">
        <v>193</v>
      </c>
    </row>
    <row r="61" spans="1:24" x14ac:dyDescent="0.3">
      <c r="A61">
        <v>60</v>
      </c>
      <c r="B61" t="str">
        <f t="shared" si="0"/>
        <v>May 18,2025</v>
      </c>
      <c r="C61" t="str">
        <f t="shared" si="1"/>
        <v>May 18,2025</v>
      </c>
      <c r="D61" t="s">
        <v>154</v>
      </c>
      <c r="E61" t="s">
        <v>104</v>
      </c>
      <c r="F61" t="s">
        <v>41</v>
      </c>
      <c r="G61" t="s">
        <v>48</v>
      </c>
      <c r="H61" t="s">
        <v>24</v>
      </c>
      <c r="I61" t="s">
        <v>48</v>
      </c>
      <c r="J61" t="s">
        <v>25</v>
      </c>
      <c r="K61">
        <v>199</v>
      </c>
      <c r="L61">
        <v>3</v>
      </c>
      <c r="M61">
        <v>205</v>
      </c>
      <c r="N61">
        <v>0</v>
      </c>
      <c r="O61" t="s">
        <v>26</v>
      </c>
      <c r="P61" t="s">
        <v>48</v>
      </c>
      <c r="R61">
        <v>10</v>
      </c>
      <c r="S61">
        <v>6</v>
      </c>
      <c r="T61" t="s">
        <v>61</v>
      </c>
      <c r="U61" t="s">
        <v>61</v>
      </c>
      <c r="V61">
        <v>108</v>
      </c>
      <c r="W61">
        <v>1900</v>
      </c>
      <c r="X61" t="s">
        <v>193</v>
      </c>
    </row>
    <row r="62" spans="1:24" x14ac:dyDescent="0.3">
      <c r="A62">
        <v>61</v>
      </c>
      <c r="B62" t="str">
        <f t="shared" si="0"/>
        <v>May 19,2025</v>
      </c>
      <c r="C62" t="str">
        <f t="shared" si="1"/>
        <v>May 19,2025</v>
      </c>
      <c r="D62" t="s">
        <v>157</v>
      </c>
      <c r="E62" t="s">
        <v>71</v>
      </c>
      <c r="F62" t="s">
        <v>42</v>
      </c>
      <c r="G62" t="s">
        <v>31</v>
      </c>
      <c r="H62" t="s">
        <v>24</v>
      </c>
      <c r="I62" t="s">
        <v>31</v>
      </c>
      <c r="J62" t="s">
        <v>25</v>
      </c>
      <c r="K62">
        <v>205</v>
      </c>
      <c r="L62">
        <v>7</v>
      </c>
      <c r="M62">
        <v>206</v>
      </c>
      <c r="N62">
        <v>4</v>
      </c>
      <c r="O62" t="s">
        <v>26</v>
      </c>
      <c r="P62" t="s">
        <v>31</v>
      </c>
      <c r="R62">
        <v>6</v>
      </c>
      <c r="S62">
        <v>10</v>
      </c>
      <c r="T62" t="s">
        <v>99</v>
      </c>
      <c r="U62" t="s">
        <v>158</v>
      </c>
      <c r="V62">
        <v>65</v>
      </c>
      <c r="W62">
        <v>1900</v>
      </c>
      <c r="X62" t="s">
        <v>194</v>
      </c>
    </row>
    <row r="63" spans="1:24" x14ac:dyDescent="0.3">
      <c r="A63">
        <v>62</v>
      </c>
      <c r="B63" t="str">
        <f t="shared" si="0"/>
        <v>May 20,2025</v>
      </c>
      <c r="C63" t="str">
        <f t="shared" si="1"/>
        <v>May 20,2025</v>
      </c>
      <c r="D63" t="s">
        <v>159</v>
      </c>
      <c r="E63" t="s">
        <v>104</v>
      </c>
      <c r="F63" t="s">
        <v>35</v>
      </c>
      <c r="G63" t="s">
        <v>32</v>
      </c>
      <c r="H63" t="s">
        <v>24</v>
      </c>
      <c r="I63" t="s">
        <v>32</v>
      </c>
      <c r="J63" t="s">
        <v>25</v>
      </c>
      <c r="K63">
        <v>187</v>
      </c>
      <c r="L63">
        <v>8</v>
      </c>
      <c r="M63">
        <v>188</v>
      </c>
      <c r="N63">
        <v>4</v>
      </c>
      <c r="O63" t="s">
        <v>26</v>
      </c>
      <c r="P63" t="s">
        <v>32</v>
      </c>
      <c r="R63">
        <v>6</v>
      </c>
      <c r="S63">
        <v>17</v>
      </c>
      <c r="T63" t="s">
        <v>160</v>
      </c>
      <c r="U63" t="s">
        <v>135</v>
      </c>
      <c r="V63">
        <v>57</v>
      </c>
      <c r="W63">
        <v>1900</v>
      </c>
      <c r="X63" t="s">
        <v>194</v>
      </c>
    </row>
    <row r="64" spans="1:24" x14ac:dyDescent="0.3">
      <c r="A64">
        <v>63</v>
      </c>
      <c r="B64" t="str">
        <f t="shared" si="0"/>
        <v>May 21,2025</v>
      </c>
      <c r="C64" t="str">
        <f t="shared" si="1"/>
        <v>May 21,2025</v>
      </c>
      <c r="D64" t="s">
        <v>161</v>
      </c>
      <c r="E64" t="s">
        <v>67</v>
      </c>
      <c r="F64" t="s">
        <v>36</v>
      </c>
      <c r="G64" t="s">
        <v>41</v>
      </c>
      <c r="H64" t="s">
        <v>24</v>
      </c>
      <c r="I64" t="s">
        <v>41</v>
      </c>
      <c r="J64" t="s">
        <v>25</v>
      </c>
      <c r="K64">
        <v>180</v>
      </c>
      <c r="L64">
        <v>5</v>
      </c>
      <c r="M64">
        <v>121</v>
      </c>
      <c r="N64">
        <v>10</v>
      </c>
      <c r="O64" t="s">
        <v>26</v>
      </c>
      <c r="P64" t="s">
        <v>36</v>
      </c>
      <c r="Q64">
        <v>59</v>
      </c>
      <c r="S64">
        <v>10</v>
      </c>
      <c r="T64" t="s">
        <v>82</v>
      </c>
      <c r="U64" t="s">
        <v>82</v>
      </c>
      <c r="V64">
        <v>73</v>
      </c>
      <c r="W64">
        <v>1900</v>
      </c>
      <c r="X64" t="s">
        <v>194</v>
      </c>
    </row>
    <row r="65" spans="1:24" x14ac:dyDescent="0.3">
      <c r="A65">
        <v>64</v>
      </c>
      <c r="B65" t="str">
        <f t="shared" si="0"/>
        <v>May 22,2025</v>
      </c>
      <c r="C65" t="str">
        <f t="shared" si="1"/>
        <v>May 22,2025</v>
      </c>
      <c r="D65" t="s">
        <v>162</v>
      </c>
      <c r="E65" t="s">
        <v>47</v>
      </c>
      <c r="F65" t="s">
        <v>48</v>
      </c>
      <c r="G65" t="s">
        <v>42</v>
      </c>
      <c r="H65" t="s">
        <v>24</v>
      </c>
      <c r="I65" t="s">
        <v>48</v>
      </c>
      <c r="J65" t="s">
        <v>25</v>
      </c>
      <c r="K65">
        <v>235</v>
      </c>
      <c r="L65">
        <v>2</v>
      </c>
      <c r="M65">
        <v>202</v>
      </c>
      <c r="N65">
        <v>9</v>
      </c>
      <c r="O65" t="s">
        <v>26</v>
      </c>
      <c r="P65" t="s">
        <v>42</v>
      </c>
      <c r="Q65">
        <v>33</v>
      </c>
      <c r="S65">
        <v>0</v>
      </c>
      <c r="T65" t="s">
        <v>158</v>
      </c>
      <c r="U65" t="s">
        <v>158</v>
      </c>
      <c r="V65">
        <v>117</v>
      </c>
      <c r="W65">
        <v>1900</v>
      </c>
      <c r="X65" t="s">
        <v>194</v>
      </c>
    </row>
    <row r="66" spans="1:24" x14ac:dyDescent="0.3">
      <c r="A66">
        <v>65</v>
      </c>
      <c r="B66" t="str">
        <f t="shared" si="0"/>
        <v>May 23,2025</v>
      </c>
      <c r="C66" t="str">
        <f t="shared" si="1"/>
        <v>May 23,2025</v>
      </c>
      <c r="D66" t="s">
        <v>163</v>
      </c>
      <c r="E66" t="s">
        <v>71</v>
      </c>
      <c r="F66" t="s">
        <v>23</v>
      </c>
      <c r="G66" t="s">
        <v>31</v>
      </c>
      <c r="H66" t="s">
        <v>24</v>
      </c>
      <c r="I66" t="s">
        <v>23</v>
      </c>
      <c r="J66" t="s">
        <v>25</v>
      </c>
      <c r="K66">
        <v>231</v>
      </c>
      <c r="L66">
        <v>6</v>
      </c>
      <c r="M66">
        <v>189</v>
      </c>
      <c r="N66">
        <v>10</v>
      </c>
      <c r="O66" t="s">
        <v>26</v>
      </c>
      <c r="P66" t="s">
        <v>31</v>
      </c>
      <c r="Q66">
        <v>42</v>
      </c>
      <c r="S66">
        <v>1</v>
      </c>
      <c r="T66" t="s">
        <v>33</v>
      </c>
      <c r="U66" t="s">
        <v>33</v>
      </c>
      <c r="V66">
        <v>94</v>
      </c>
      <c r="W66">
        <v>1900</v>
      </c>
      <c r="X66" t="s">
        <v>194</v>
      </c>
    </row>
    <row r="67" spans="1:24" x14ac:dyDescent="0.3">
      <c r="A67">
        <v>66</v>
      </c>
      <c r="B67" t="str">
        <f t="shared" ref="B67:B75" si="2">TEXT(D67,"MMM")</f>
        <v>May 24,2025</v>
      </c>
      <c r="C67" t="str">
        <f t="shared" ref="C67:C75" si="3">TEXT(D67,"YYY")</f>
        <v>May 24,2025</v>
      </c>
      <c r="D67" t="s">
        <v>164</v>
      </c>
      <c r="E67" t="s">
        <v>102</v>
      </c>
      <c r="F67" t="s">
        <v>49</v>
      </c>
      <c r="G67" t="s">
        <v>41</v>
      </c>
      <c r="H67" t="s">
        <v>24</v>
      </c>
      <c r="I67" t="s">
        <v>41</v>
      </c>
      <c r="J67" t="s">
        <v>25</v>
      </c>
      <c r="K67">
        <v>206</v>
      </c>
      <c r="L67">
        <v>8</v>
      </c>
      <c r="M67">
        <v>208</v>
      </c>
      <c r="N67">
        <v>4</v>
      </c>
      <c r="O67" t="s">
        <v>26</v>
      </c>
      <c r="P67" t="s">
        <v>41</v>
      </c>
      <c r="R67">
        <v>6</v>
      </c>
      <c r="S67">
        <v>3</v>
      </c>
      <c r="T67" t="s">
        <v>165</v>
      </c>
      <c r="U67" t="s">
        <v>165</v>
      </c>
      <c r="V67">
        <v>58</v>
      </c>
      <c r="W67">
        <v>1900</v>
      </c>
      <c r="X67" t="s">
        <v>194</v>
      </c>
    </row>
    <row r="68" spans="1:24" x14ac:dyDescent="0.3">
      <c r="A68">
        <v>67</v>
      </c>
      <c r="B68" t="str">
        <f t="shared" si="2"/>
        <v>May 25,2025</v>
      </c>
      <c r="C68" t="str">
        <f t="shared" si="3"/>
        <v>May 25,2025</v>
      </c>
      <c r="D68" t="s">
        <v>166</v>
      </c>
      <c r="E68" t="s">
        <v>47</v>
      </c>
      <c r="F68" t="s">
        <v>48</v>
      </c>
      <c r="G68" t="s">
        <v>35</v>
      </c>
      <c r="H68" t="s">
        <v>24</v>
      </c>
      <c r="I68" t="s">
        <v>35</v>
      </c>
      <c r="J68" t="s">
        <v>63</v>
      </c>
      <c r="K68">
        <v>230</v>
      </c>
      <c r="L68">
        <v>5</v>
      </c>
      <c r="M68">
        <v>147</v>
      </c>
      <c r="N68">
        <v>10</v>
      </c>
      <c r="O68" t="s">
        <v>26</v>
      </c>
      <c r="P68" t="s">
        <v>35</v>
      </c>
      <c r="Q68">
        <v>83</v>
      </c>
      <c r="S68">
        <v>9</v>
      </c>
      <c r="T68" t="s">
        <v>152</v>
      </c>
      <c r="U68" t="s">
        <v>152</v>
      </c>
      <c r="V68">
        <v>57</v>
      </c>
      <c r="W68">
        <v>1900</v>
      </c>
      <c r="X68" t="s">
        <v>194</v>
      </c>
    </row>
    <row r="69" spans="1:24" x14ac:dyDescent="0.3">
      <c r="A69">
        <v>68</v>
      </c>
      <c r="B69" t="str">
        <f t="shared" si="2"/>
        <v>May 25,2025</v>
      </c>
      <c r="C69" t="str">
        <f t="shared" si="3"/>
        <v>May 25,2025</v>
      </c>
      <c r="D69" t="s">
        <v>166</v>
      </c>
      <c r="E69" t="s">
        <v>104</v>
      </c>
      <c r="F69" t="s">
        <v>22</v>
      </c>
      <c r="G69" t="s">
        <v>31</v>
      </c>
      <c r="H69" t="s">
        <v>24</v>
      </c>
      <c r="I69" t="s">
        <v>31</v>
      </c>
      <c r="J69" t="s">
        <v>63</v>
      </c>
      <c r="K69">
        <v>278</v>
      </c>
      <c r="L69">
        <v>3</v>
      </c>
      <c r="M69">
        <v>168</v>
      </c>
      <c r="N69">
        <v>10</v>
      </c>
      <c r="O69" t="s">
        <v>26</v>
      </c>
      <c r="P69" t="s">
        <v>31</v>
      </c>
      <c r="Q69">
        <v>110</v>
      </c>
      <c r="S69">
        <v>8</v>
      </c>
      <c r="T69" t="s">
        <v>128</v>
      </c>
      <c r="U69" t="s">
        <v>128</v>
      </c>
      <c r="V69">
        <v>105</v>
      </c>
      <c r="W69">
        <v>1900</v>
      </c>
      <c r="X69" t="s">
        <v>194</v>
      </c>
    </row>
    <row r="70" spans="1:24" x14ac:dyDescent="0.3">
      <c r="A70">
        <v>69</v>
      </c>
      <c r="B70" t="str">
        <f t="shared" si="2"/>
        <v>May 26,2025</v>
      </c>
      <c r="C70" t="str">
        <f t="shared" si="3"/>
        <v>May 26,2025</v>
      </c>
      <c r="D70" t="s">
        <v>167</v>
      </c>
      <c r="E70" t="s">
        <v>102</v>
      </c>
      <c r="F70" t="s">
        <v>49</v>
      </c>
      <c r="G70" t="s">
        <v>36</v>
      </c>
      <c r="H70" t="s">
        <v>24</v>
      </c>
      <c r="I70" t="s">
        <v>49</v>
      </c>
      <c r="J70" t="s">
        <v>25</v>
      </c>
      <c r="K70">
        <v>184</v>
      </c>
      <c r="L70">
        <v>7</v>
      </c>
      <c r="M70">
        <v>187</v>
      </c>
      <c r="N70">
        <v>3</v>
      </c>
      <c r="O70" t="s">
        <v>26</v>
      </c>
      <c r="P70" t="s">
        <v>49</v>
      </c>
      <c r="R70">
        <v>7</v>
      </c>
      <c r="S70">
        <v>9</v>
      </c>
      <c r="T70" t="s">
        <v>168</v>
      </c>
      <c r="U70" t="s">
        <v>168</v>
      </c>
      <c r="V70">
        <v>73</v>
      </c>
      <c r="W70">
        <v>1900</v>
      </c>
      <c r="X70" t="s">
        <v>194</v>
      </c>
    </row>
    <row r="71" spans="1:24" x14ac:dyDescent="0.3">
      <c r="A71">
        <v>70</v>
      </c>
      <c r="B71" t="str">
        <f t="shared" si="2"/>
        <v>May 27,2025</v>
      </c>
      <c r="C71" t="str">
        <f t="shared" si="3"/>
        <v>May 27,2025</v>
      </c>
      <c r="D71" t="s">
        <v>169</v>
      </c>
      <c r="E71" t="s">
        <v>71</v>
      </c>
      <c r="F71" t="s">
        <v>42</v>
      </c>
      <c r="G71" t="s">
        <v>23</v>
      </c>
      <c r="H71" t="s">
        <v>24</v>
      </c>
      <c r="I71" t="s">
        <v>23</v>
      </c>
      <c r="J71" t="s">
        <v>25</v>
      </c>
      <c r="K71">
        <v>227</v>
      </c>
      <c r="L71">
        <v>3</v>
      </c>
      <c r="M71">
        <v>230</v>
      </c>
      <c r="N71">
        <v>4</v>
      </c>
      <c r="O71" t="s">
        <v>26</v>
      </c>
      <c r="P71" t="s">
        <v>23</v>
      </c>
      <c r="R71">
        <v>6</v>
      </c>
      <c r="S71">
        <v>8</v>
      </c>
      <c r="T71" t="s">
        <v>170</v>
      </c>
      <c r="U71" t="s">
        <v>109</v>
      </c>
      <c r="V71">
        <v>118</v>
      </c>
      <c r="W71">
        <v>1900</v>
      </c>
      <c r="X71" t="s">
        <v>194</v>
      </c>
    </row>
    <row r="72" spans="1:24" x14ac:dyDescent="0.3">
      <c r="A72">
        <v>71</v>
      </c>
      <c r="B72" t="str">
        <f t="shared" si="2"/>
        <v>May 29,2025</v>
      </c>
      <c r="C72" t="str">
        <f t="shared" si="3"/>
        <v>May 29,2025</v>
      </c>
      <c r="D72" t="s">
        <v>171</v>
      </c>
      <c r="E72" t="s">
        <v>85</v>
      </c>
      <c r="F72" t="s">
        <v>49</v>
      </c>
      <c r="G72" t="s">
        <v>23</v>
      </c>
      <c r="H72" t="s">
        <v>172</v>
      </c>
      <c r="I72" t="s">
        <v>23</v>
      </c>
      <c r="J72" t="s">
        <v>25</v>
      </c>
      <c r="K72">
        <v>101</v>
      </c>
      <c r="L72">
        <v>10</v>
      </c>
      <c r="M72">
        <v>106</v>
      </c>
      <c r="N72">
        <v>2</v>
      </c>
      <c r="O72" t="s">
        <v>26</v>
      </c>
      <c r="P72" t="s">
        <v>23</v>
      </c>
      <c r="R72">
        <v>8</v>
      </c>
      <c r="S72">
        <v>60</v>
      </c>
      <c r="T72" t="s">
        <v>173</v>
      </c>
      <c r="U72" t="s">
        <v>103</v>
      </c>
      <c r="V72">
        <v>56</v>
      </c>
      <c r="W72">
        <v>1900</v>
      </c>
      <c r="X72" t="s">
        <v>194</v>
      </c>
    </row>
    <row r="73" spans="1:24" x14ac:dyDescent="0.3">
      <c r="A73">
        <v>72</v>
      </c>
      <c r="B73" t="str">
        <f t="shared" si="2"/>
        <v>May 30,2025</v>
      </c>
      <c r="C73" t="str">
        <f t="shared" si="3"/>
        <v>May 30,2025</v>
      </c>
      <c r="D73" t="s">
        <v>174</v>
      </c>
      <c r="E73" t="s">
        <v>85</v>
      </c>
      <c r="F73" t="s">
        <v>48</v>
      </c>
      <c r="G73" t="s">
        <v>36</v>
      </c>
      <c r="H73" t="s">
        <v>172</v>
      </c>
      <c r="I73" t="s">
        <v>36</v>
      </c>
      <c r="J73" t="s">
        <v>63</v>
      </c>
      <c r="K73">
        <v>228</v>
      </c>
      <c r="L73">
        <v>5</v>
      </c>
      <c r="M73">
        <v>208</v>
      </c>
      <c r="N73">
        <v>6</v>
      </c>
      <c r="O73" t="s">
        <v>26</v>
      </c>
      <c r="P73" t="s">
        <v>36</v>
      </c>
      <c r="Q73">
        <v>20</v>
      </c>
      <c r="S73">
        <v>0</v>
      </c>
      <c r="T73" t="s">
        <v>122</v>
      </c>
      <c r="U73" t="s">
        <v>122</v>
      </c>
      <c r="V73">
        <v>81</v>
      </c>
      <c r="W73">
        <v>1900</v>
      </c>
      <c r="X73" t="s">
        <v>194</v>
      </c>
    </row>
    <row r="74" spans="1:24" x14ac:dyDescent="0.3">
      <c r="A74">
        <v>73</v>
      </c>
      <c r="B74" t="str">
        <f t="shared" si="2"/>
        <v>June 1,2025</v>
      </c>
      <c r="C74" t="str">
        <f t="shared" si="3"/>
        <v>June 1,2025</v>
      </c>
      <c r="D74" t="s">
        <v>175</v>
      </c>
      <c r="E74" t="s">
        <v>47</v>
      </c>
      <c r="F74" t="s">
        <v>49</v>
      </c>
      <c r="G74" t="s">
        <v>36</v>
      </c>
      <c r="H74" t="s">
        <v>172</v>
      </c>
      <c r="I74" t="s">
        <v>49</v>
      </c>
      <c r="J74" t="s">
        <v>25</v>
      </c>
      <c r="K74">
        <v>203</v>
      </c>
      <c r="L74">
        <v>6</v>
      </c>
      <c r="M74">
        <v>207</v>
      </c>
      <c r="N74">
        <v>5</v>
      </c>
      <c r="O74" t="s">
        <v>26</v>
      </c>
      <c r="P74" t="s">
        <v>49</v>
      </c>
      <c r="R74">
        <v>5</v>
      </c>
      <c r="S74">
        <v>6</v>
      </c>
      <c r="T74" t="s">
        <v>50</v>
      </c>
      <c r="U74" t="s">
        <v>50</v>
      </c>
      <c r="V74">
        <v>87</v>
      </c>
      <c r="W74">
        <v>1900</v>
      </c>
      <c r="X74" t="s">
        <v>194</v>
      </c>
    </row>
    <row r="75" spans="1:24" x14ac:dyDescent="0.3">
      <c r="A75">
        <v>74</v>
      </c>
      <c r="B75" t="str">
        <f t="shared" si="2"/>
        <v>June 3,2025</v>
      </c>
      <c r="C75" t="str">
        <f t="shared" si="3"/>
        <v>June 3,2025</v>
      </c>
      <c r="D75" t="s">
        <v>176</v>
      </c>
      <c r="E75" t="s">
        <v>47</v>
      </c>
      <c r="F75" t="s">
        <v>23</v>
      </c>
      <c r="G75" t="s">
        <v>49</v>
      </c>
      <c r="H75" t="s">
        <v>177</v>
      </c>
      <c r="I75" t="s">
        <v>49</v>
      </c>
      <c r="J75" t="s">
        <v>25</v>
      </c>
      <c r="K75">
        <v>190</v>
      </c>
      <c r="L75">
        <v>9</v>
      </c>
      <c r="M75">
        <v>184</v>
      </c>
      <c r="N75">
        <v>7</v>
      </c>
      <c r="O75" t="s">
        <v>26</v>
      </c>
      <c r="P75" t="s">
        <v>23</v>
      </c>
      <c r="Q75">
        <v>6</v>
      </c>
      <c r="S75">
        <v>0</v>
      </c>
      <c r="T75" t="s">
        <v>27</v>
      </c>
      <c r="U75" t="s">
        <v>178</v>
      </c>
      <c r="V75">
        <v>61</v>
      </c>
      <c r="W75">
        <v>1900</v>
      </c>
      <c r="X75" t="s">
        <v>194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C3588-C9F8-427D-AB43-7353EA342CAB}">
  <sheetPr codeName="Sheet3">
    <tabColor rgb="FFD9D9D9"/>
  </sheetPr>
  <dimension ref="B1:S3"/>
  <sheetViews>
    <sheetView showGridLines="0" tabSelected="1" zoomScaleNormal="100" zoomScaleSheetLayoutView="44" workbookViewId="0">
      <selection activeCell="N26" sqref="N26"/>
    </sheetView>
  </sheetViews>
  <sheetFormatPr defaultRowHeight="14.4" x14ac:dyDescent="0.3"/>
  <cols>
    <col min="1" max="10" width="8.88671875" style="1"/>
    <col min="11" max="11" width="11.88671875" style="1" bestFit="1" customWidth="1"/>
    <col min="12" max="16384" width="8.88671875" style="1"/>
  </cols>
  <sheetData>
    <row r="1" spans="2:19" ht="39.6" x14ac:dyDescent="0.85">
      <c r="B1" s="7" t="s">
        <v>195</v>
      </c>
      <c r="C1" s="7"/>
      <c r="D1" s="7"/>
      <c r="E1" s="7"/>
      <c r="F1" s="7"/>
      <c r="G1" s="6"/>
      <c r="H1" s="6"/>
      <c r="I1" s="6"/>
      <c r="J1" s="6"/>
      <c r="K1" s="6" t="e" vm="1">
        <v>#VALUE!</v>
      </c>
      <c r="L1" s="6"/>
      <c r="M1" s="6"/>
      <c r="N1" s="6"/>
      <c r="O1" s="6"/>
      <c r="P1" s="6"/>
      <c r="Q1" s="6"/>
      <c r="R1" s="6"/>
      <c r="S1" s="6"/>
    </row>
    <row r="2" spans="2:19" ht="39.6" x14ac:dyDescent="0.85">
      <c r="B2" s="7"/>
      <c r="C2" s="7"/>
      <c r="D2" s="7"/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3" spans="2:19" x14ac:dyDescent="0.3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Sheet2</vt:lpstr>
      <vt:lpstr>Pivot</vt:lpstr>
      <vt:lpstr>data</vt:lpstr>
      <vt:lpstr>dashboard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sayooj s</dc:creator>
  <cp:lastModifiedBy>sayooj s</cp:lastModifiedBy>
  <dcterms:created xsi:type="dcterms:W3CDTF">2025-06-08T15:48:17Z</dcterms:created>
  <dcterms:modified xsi:type="dcterms:W3CDTF">2025-06-13T12:32:32Z</dcterms:modified>
</cp:coreProperties>
</file>